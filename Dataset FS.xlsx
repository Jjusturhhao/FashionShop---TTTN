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ực tập TN\"/>
    </mc:Choice>
  </mc:AlternateContent>
  <xr:revisionPtr revIDLastSave="0" documentId="13_ncr:1_{33AE5F7A-D436-4699-8267-AD3C15F6586D}" xr6:coauthVersionLast="47" xr6:coauthVersionMax="47" xr10:uidLastSave="{00000000-0000-0000-0000-000000000000}"/>
  <bookViews>
    <workbookView xWindow="-110" yWindow="-110" windowWidth="19420" windowHeight="11500" firstSheet="1" activeTab="6" xr2:uid="{E3E0D296-E482-4DC3-876C-70DDE8E17CFB}"/>
  </bookViews>
  <sheets>
    <sheet name="Partner" sheetId="8" r:id="rId1"/>
    <sheet name="Partner_Info" sheetId="1" r:id="rId2"/>
    <sheet name="Store" sheetId="4" r:id="rId3"/>
    <sheet name="Employee" sheetId="7" r:id="rId4"/>
    <sheet name="Category" sheetId="5" r:id="rId5"/>
    <sheet name="Product" sheetId="9" r:id="rId6"/>
    <sheet name="Order" sheetId="11" r:id="rId7"/>
    <sheet name="Order_Detail" sheetId="2" r:id="rId8"/>
    <sheet name="Discount" sheetId="12" r:id="rId9"/>
    <sheet name="Discount_Product_Apply" sheetId="13" r:id="rId10"/>
    <sheet name="Import" sheetId="14" r:id="rId11"/>
    <sheet name="Import_Detail" sheetId="15" r:id="rId12"/>
    <sheet name="Return" sheetId="16" r:id="rId13"/>
    <sheet name="Return_Detail" sheetId="17" r:id="rId14"/>
  </sheets>
  <definedNames>
    <definedName name="_xlnm._FilterDatabase" localSheetId="1" hidden="1">Partner_Info!$A$1:$G$61</definedName>
    <definedName name="_xlnm._FilterDatabase" localSheetId="5" hidden="1">Product!$A$1:$A$304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2" l="1"/>
  <c r="J23" i="2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30" i="11"/>
  <c r="I131" i="11"/>
  <c r="I132" i="11"/>
  <c r="I2" i="11"/>
  <c r="J2" i="11"/>
  <c r="K2" i="11" s="1"/>
  <c r="L2" i="11" s="1"/>
  <c r="J54" i="11"/>
  <c r="K54" i="11" s="1"/>
  <c r="L54" i="11" s="1"/>
  <c r="N80" i="11"/>
  <c r="N74" i="11"/>
  <c r="N4" i="11"/>
  <c r="N5" i="11"/>
  <c r="N7" i="11"/>
  <c r="N8" i="11"/>
  <c r="N9" i="11"/>
  <c r="N10" i="11"/>
  <c r="N11" i="11"/>
  <c r="N12" i="11"/>
  <c r="N13" i="11"/>
  <c r="N14" i="11"/>
  <c r="N15" i="11"/>
  <c r="N16" i="11"/>
  <c r="N17" i="11"/>
  <c r="N21" i="11"/>
  <c r="N22" i="11"/>
  <c r="N23" i="11"/>
  <c r="N25" i="11"/>
  <c r="N26" i="11"/>
  <c r="N27" i="11"/>
  <c r="N28" i="11"/>
  <c r="N30" i="11"/>
  <c r="N31" i="11"/>
  <c r="N32" i="11"/>
  <c r="N33" i="11"/>
  <c r="N34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1" i="11"/>
  <c r="N65" i="11"/>
  <c r="N66" i="11"/>
  <c r="N68" i="11"/>
  <c r="N69" i="11"/>
  <c r="N70" i="11"/>
  <c r="N71" i="11"/>
  <c r="N72" i="11"/>
  <c r="N75" i="11"/>
  <c r="N76" i="11"/>
  <c r="N77" i="11"/>
  <c r="N78" i="11"/>
  <c r="N79" i="11"/>
  <c r="N81" i="11"/>
  <c r="N82" i="11"/>
  <c r="N83" i="11"/>
  <c r="N84" i="11"/>
  <c r="N85" i="11"/>
  <c r="N86" i="11"/>
  <c r="N87" i="11"/>
  <c r="N88" i="11"/>
  <c r="N89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6" i="11"/>
  <c r="N118" i="11"/>
  <c r="N119" i="11"/>
  <c r="N121" i="11"/>
  <c r="N123" i="11"/>
  <c r="N124" i="11"/>
  <c r="N126" i="11"/>
  <c r="F8" i="17"/>
  <c r="F9" i="17"/>
  <c r="F10" i="17"/>
  <c r="F11" i="17"/>
  <c r="F5" i="17"/>
  <c r="F6" i="17"/>
  <c r="F7" i="17"/>
  <c r="F4" i="17"/>
  <c r="F3" i="17"/>
  <c r="F2" i="17"/>
  <c r="I11" i="16"/>
  <c r="I8" i="16"/>
  <c r="I4" i="16"/>
  <c r="E13" i="14"/>
  <c r="E15" i="14"/>
  <c r="E8" i="14"/>
  <c r="G276" i="15"/>
  <c r="G337" i="15" s="1"/>
  <c r="G335" i="15"/>
  <c r="G336" i="15"/>
  <c r="G338" i="15"/>
  <c r="G339" i="15"/>
  <c r="G340" i="15"/>
  <c r="G341" i="15"/>
  <c r="G342" i="15"/>
  <c r="G343" i="15"/>
  <c r="G344" i="15"/>
  <c r="G345" i="15"/>
  <c r="G346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4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E16" i="14"/>
  <c r="E14" i="14"/>
  <c r="E7" i="14"/>
  <c r="I3" i="2"/>
  <c r="J3" i="2" s="1"/>
  <c r="I4" i="2"/>
  <c r="J4" i="2" s="1"/>
  <c r="I5" i="2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I20" i="2"/>
  <c r="I21" i="2"/>
  <c r="J21" i="2" s="1"/>
  <c r="I22" i="2"/>
  <c r="J22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I42" i="2"/>
  <c r="I43" i="2"/>
  <c r="J43" i="2" s="1"/>
  <c r="I44" i="2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2" i="2"/>
  <c r="J2" i="2" s="1"/>
  <c r="J3" i="11"/>
  <c r="K3" i="11" s="1"/>
  <c r="L3" i="11" s="1"/>
  <c r="J4" i="11"/>
  <c r="K4" i="11" s="1"/>
  <c r="L4" i="11" s="1"/>
  <c r="J5" i="11"/>
  <c r="K5" i="11" s="1"/>
  <c r="L5" i="11" s="1"/>
  <c r="J6" i="11"/>
  <c r="K6" i="11" s="1"/>
  <c r="L6" i="11" s="1"/>
  <c r="J7" i="11"/>
  <c r="K7" i="11" s="1"/>
  <c r="L7" i="11" s="1"/>
  <c r="J8" i="11"/>
  <c r="K8" i="11" s="1"/>
  <c r="L8" i="11" s="1"/>
  <c r="J9" i="11"/>
  <c r="K9" i="11" s="1"/>
  <c r="L9" i="11" s="1"/>
  <c r="J10" i="11"/>
  <c r="K10" i="11" s="1"/>
  <c r="L10" i="11" s="1"/>
  <c r="J11" i="11"/>
  <c r="K11" i="11" s="1"/>
  <c r="L11" i="11" s="1"/>
  <c r="J12" i="11"/>
  <c r="K12" i="11" s="1"/>
  <c r="L12" i="11" s="1"/>
  <c r="J13" i="11"/>
  <c r="K13" i="11" s="1"/>
  <c r="L13" i="11" s="1"/>
  <c r="J14" i="11"/>
  <c r="K14" i="11" s="1"/>
  <c r="L14" i="11" s="1"/>
  <c r="J15" i="11"/>
  <c r="K15" i="11" s="1"/>
  <c r="L15" i="11" s="1"/>
  <c r="J16" i="11"/>
  <c r="K16" i="11" s="1"/>
  <c r="L16" i="11" s="1"/>
  <c r="J17" i="11"/>
  <c r="K17" i="11" s="1"/>
  <c r="L17" i="11" s="1"/>
  <c r="J18" i="11"/>
  <c r="K18" i="11" s="1"/>
  <c r="L18" i="11" s="1"/>
  <c r="J19" i="11"/>
  <c r="K19" i="11" s="1"/>
  <c r="L19" i="11" s="1"/>
  <c r="J20" i="11"/>
  <c r="K20" i="11" s="1"/>
  <c r="L20" i="11" s="1"/>
  <c r="J21" i="11"/>
  <c r="K21" i="11" s="1"/>
  <c r="L21" i="11" s="1"/>
  <c r="J22" i="11"/>
  <c r="K22" i="11" s="1"/>
  <c r="L22" i="11" s="1"/>
  <c r="J23" i="11"/>
  <c r="K23" i="11" s="1"/>
  <c r="L23" i="11" s="1"/>
  <c r="J24" i="11"/>
  <c r="K24" i="11" s="1"/>
  <c r="L24" i="11" s="1"/>
  <c r="J25" i="11"/>
  <c r="K25" i="11" s="1"/>
  <c r="L25" i="11" s="1"/>
  <c r="J26" i="11"/>
  <c r="K26" i="11" s="1"/>
  <c r="L26" i="11" s="1"/>
  <c r="J27" i="11"/>
  <c r="K27" i="11" s="1"/>
  <c r="L27" i="11" s="1"/>
  <c r="J28" i="11"/>
  <c r="K28" i="11" s="1"/>
  <c r="L28" i="11" s="1"/>
  <c r="J29" i="11"/>
  <c r="K29" i="11" s="1"/>
  <c r="L29" i="11" s="1"/>
  <c r="J30" i="11"/>
  <c r="K30" i="11" s="1"/>
  <c r="L30" i="11" s="1"/>
  <c r="J31" i="11"/>
  <c r="K31" i="11" s="1"/>
  <c r="L31" i="11" s="1"/>
  <c r="J32" i="11"/>
  <c r="K32" i="11" s="1"/>
  <c r="L32" i="11" s="1"/>
  <c r="J33" i="11"/>
  <c r="K33" i="11" s="1"/>
  <c r="L33" i="11" s="1"/>
  <c r="J34" i="11"/>
  <c r="K34" i="11" s="1"/>
  <c r="L34" i="11" s="1"/>
  <c r="J35" i="11"/>
  <c r="K35" i="11" s="1"/>
  <c r="L35" i="11" s="1"/>
  <c r="J36" i="11"/>
  <c r="K36" i="11" s="1"/>
  <c r="L36" i="11" s="1"/>
  <c r="J37" i="11"/>
  <c r="K37" i="11" s="1"/>
  <c r="L37" i="11" s="1"/>
  <c r="J38" i="11"/>
  <c r="K38" i="11" s="1"/>
  <c r="L38" i="11" s="1"/>
  <c r="J39" i="11"/>
  <c r="K39" i="11" s="1"/>
  <c r="L39" i="11" s="1"/>
  <c r="J40" i="11"/>
  <c r="K40" i="11" s="1"/>
  <c r="L40" i="11" s="1"/>
  <c r="J41" i="11"/>
  <c r="K41" i="11" s="1"/>
  <c r="L41" i="11" s="1"/>
  <c r="J42" i="11"/>
  <c r="K42" i="11" s="1"/>
  <c r="L42" i="11" s="1"/>
  <c r="J43" i="11"/>
  <c r="K43" i="11" s="1"/>
  <c r="L43" i="11" s="1"/>
  <c r="J44" i="11"/>
  <c r="K44" i="11" s="1"/>
  <c r="L44" i="11" s="1"/>
  <c r="J45" i="11"/>
  <c r="K45" i="11" s="1"/>
  <c r="L45" i="11" s="1"/>
  <c r="J46" i="11"/>
  <c r="K46" i="11" s="1"/>
  <c r="L46" i="11" s="1"/>
  <c r="J47" i="11"/>
  <c r="K47" i="11" s="1"/>
  <c r="L47" i="11" s="1"/>
  <c r="J48" i="11"/>
  <c r="K48" i="11" s="1"/>
  <c r="L48" i="11" s="1"/>
  <c r="J49" i="11"/>
  <c r="K49" i="11" s="1"/>
  <c r="L49" i="11" s="1"/>
  <c r="J50" i="11"/>
  <c r="K50" i="11" s="1"/>
  <c r="L50" i="11" s="1"/>
  <c r="J51" i="11"/>
  <c r="K51" i="11" s="1"/>
  <c r="L51" i="11" s="1"/>
  <c r="J52" i="11"/>
  <c r="K52" i="11" s="1"/>
  <c r="L52" i="11" s="1"/>
  <c r="J53" i="11"/>
  <c r="K53" i="11" s="1"/>
  <c r="L53" i="11" s="1"/>
  <c r="J55" i="11"/>
  <c r="K55" i="11" s="1"/>
  <c r="L55" i="11" s="1"/>
  <c r="J56" i="11"/>
  <c r="K56" i="11" s="1"/>
  <c r="L56" i="11" s="1"/>
  <c r="J57" i="11"/>
  <c r="K57" i="11" s="1"/>
  <c r="L57" i="11" s="1"/>
  <c r="J58" i="11"/>
  <c r="K58" i="11" s="1"/>
  <c r="L58" i="11" s="1"/>
  <c r="J59" i="11"/>
  <c r="K59" i="11" s="1"/>
  <c r="L59" i="11" s="1"/>
  <c r="J60" i="11"/>
  <c r="K60" i="11" s="1"/>
  <c r="L60" i="11" s="1"/>
  <c r="J61" i="11"/>
  <c r="K61" i="11" s="1"/>
  <c r="L61" i="11" s="1"/>
  <c r="J62" i="11"/>
  <c r="K62" i="11" s="1"/>
  <c r="L62" i="11" s="1"/>
  <c r="J63" i="11"/>
  <c r="K63" i="11" s="1"/>
  <c r="L63" i="11" s="1"/>
  <c r="J64" i="11"/>
  <c r="K64" i="11" s="1"/>
  <c r="L64" i="11" s="1"/>
  <c r="J65" i="11"/>
  <c r="K65" i="11" s="1"/>
  <c r="L65" i="11" s="1"/>
  <c r="J66" i="11"/>
  <c r="K66" i="11" s="1"/>
  <c r="L66" i="11" s="1"/>
  <c r="J67" i="11"/>
  <c r="K67" i="11" s="1"/>
  <c r="L67" i="11" s="1"/>
  <c r="J68" i="11"/>
  <c r="K68" i="11" s="1"/>
  <c r="L68" i="11" s="1"/>
  <c r="J69" i="11"/>
  <c r="K69" i="11" s="1"/>
  <c r="L69" i="11" s="1"/>
  <c r="J70" i="11"/>
  <c r="K70" i="11" s="1"/>
  <c r="L70" i="11" s="1"/>
  <c r="J71" i="11"/>
  <c r="K71" i="11" s="1"/>
  <c r="L71" i="11" s="1"/>
  <c r="J72" i="11"/>
  <c r="K72" i="11" s="1"/>
  <c r="L72" i="11" s="1"/>
  <c r="J73" i="11"/>
  <c r="K73" i="11" s="1"/>
  <c r="L73" i="11" s="1"/>
  <c r="J74" i="11"/>
  <c r="K74" i="11" s="1"/>
  <c r="L74" i="11" s="1"/>
  <c r="J75" i="11"/>
  <c r="K75" i="11" s="1"/>
  <c r="L75" i="11" s="1"/>
  <c r="J76" i="11"/>
  <c r="K76" i="11" s="1"/>
  <c r="L76" i="11" s="1"/>
  <c r="J77" i="11"/>
  <c r="K77" i="11" s="1"/>
  <c r="L77" i="11" s="1"/>
  <c r="J78" i="11"/>
  <c r="K78" i="11" s="1"/>
  <c r="L78" i="11" s="1"/>
  <c r="J79" i="11"/>
  <c r="K79" i="11" s="1"/>
  <c r="L79" i="11" s="1"/>
  <c r="J80" i="11"/>
  <c r="K80" i="11" s="1"/>
  <c r="L80" i="11" s="1"/>
  <c r="J81" i="11"/>
  <c r="K81" i="11" s="1"/>
  <c r="L81" i="11" s="1"/>
  <c r="J82" i="11"/>
  <c r="K82" i="11" s="1"/>
  <c r="L82" i="11" s="1"/>
  <c r="J83" i="11"/>
  <c r="K83" i="11" s="1"/>
  <c r="L83" i="11" s="1"/>
  <c r="J84" i="11"/>
  <c r="K84" i="11" s="1"/>
  <c r="L84" i="11" s="1"/>
  <c r="J85" i="11"/>
  <c r="K85" i="11" s="1"/>
  <c r="L85" i="11" s="1"/>
  <c r="J86" i="11"/>
  <c r="K86" i="11" s="1"/>
  <c r="L86" i="11" s="1"/>
  <c r="J88" i="11"/>
  <c r="K88" i="11" s="1"/>
  <c r="L88" i="11" s="1"/>
  <c r="J89" i="11"/>
  <c r="K89" i="11" s="1"/>
  <c r="L89" i="11" s="1"/>
  <c r="J90" i="11"/>
  <c r="K90" i="11" s="1"/>
  <c r="L90" i="11" s="1"/>
  <c r="J91" i="11"/>
  <c r="K91" i="11" s="1"/>
  <c r="L91" i="11" s="1"/>
  <c r="J92" i="11"/>
  <c r="K92" i="11" s="1"/>
  <c r="L92" i="11" s="1"/>
  <c r="J93" i="11"/>
  <c r="K93" i="11" s="1"/>
  <c r="L93" i="11" s="1"/>
  <c r="J94" i="11"/>
  <c r="K94" i="11" s="1"/>
  <c r="L94" i="11" s="1"/>
  <c r="J95" i="11"/>
  <c r="K95" i="11" s="1"/>
  <c r="L95" i="11" s="1"/>
  <c r="J96" i="11"/>
  <c r="K96" i="11" s="1"/>
  <c r="L96" i="11" s="1"/>
  <c r="J97" i="11"/>
  <c r="K97" i="11" s="1"/>
  <c r="L97" i="11" s="1"/>
  <c r="J98" i="11"/>
  <c r="K98" i="11" s="1"/>
  <c r="L98" i="11" s="1"/>
  <c r="J99" i="11"/>
  <c r="K99" i="11" s="1"/>
  <c r="L99" i="11" s="1"/>
  <c r="J100" i="11"/>
  <c r="K100" i="11" s="1"/>
  <c r="L100" i="11" s="1"/>
  <c r="J101" i="11"/>
  <c r="K101" i="11" s="1"/>
  <c r="L101" i="11" s="1"/>
  <c r="J102" i="11"/>
  <c r="K102" i="11" s="1"/>
  <c r="L102" i="11" s="1"/>
  <c r="J103" i="11"/>
  <c r="K103" i="11" s="1"/>
  <c r="L103" i="11" s="1"/>
  <c r="J104" i="11"/>
  <c r="K104" i="11" s="1"/>
  <c r="L104" i="11" s="1"/>
  <c r="J105" i="11"/>
  <c r="K105" i="11" s="1"/>
  <c r="L105" i="11" s="1"/>
  <c r="J106" i="11"/>
  <c r="K106" i="11" s="1"/>
  <c r="L106" i="11" s="1"/>
  <c r="J107" i="11"/>
  <c r="K107" i="11" s="1"/>
  <c r="L107" i="11" s="1"/>
  <c r="J108" i="11"/>
  <c r="K108" i="11" s="1"/>
  <c r="L108" i="11" s="1"/>
  <c r="J109" i="11"/>
  <c r="K109" i="11" s="1"/>
  <c r="L109" i="11" s="1"/>
  <c r="J110" i="11"/>
  <c r="K110" i="11" s="1"/>
  <c r="L110" i="11" s="1"/>
  <c r="J111" i="11"/>
  <c r="K111" i="11" s="1"/>
  <c r="L111" i="11" s="1"/>
  <c r="J112" i="11"/>
  <c r="K112" i="11" s="1"/>
  <c r="L112" i="11" s="1"/>
  <c r="J113" i="11"/>
  <c r="K113" i="11" s="1"/>
  <c r="L113" i="11" s="1"/>
  <c r="J114" i="11"/>
  <c r="K114" i="11" s="1"/>
  <c r="L114" i="11" s="1"/>
  <c r="J115" i="11"/>
  <c r="K115" i="11" s="1"/>
  <c r="L115" i="11" s="1"/>
  <c r="J116" i="11"/>
  <c r="K116" i="11" s="1"/>
  <c r="L116" i="11" s="1"/>
  <c r="J117" i="11"/>
  <c r="K117" i="11" s="1"/>
  <c r="L117" i="11" s="1"/>
  <c r="J118" i="11"/>
  <c r="K118" i="11" s="1"/>
  <c r="L118" i="11" s="1"/>
  <c r="J119" i="11"/>
  <c r="K119" i="11" s="1"/>
  <c r="L119" i="11" s="1"/>
  <c r="J120" i="11"/>
  <c r="K120" i="11" s="1"/>
  <c r="L120" i="11" s="1"/>
  <c r="J121" i="11"/>
  <c r="K121" i="11" s="1"/>
  <c r="L121" i="11" s="1"/>
  <c r="J122" i="11"/>
  <c r="K122" i="11" s="1"/>
  <c r="L122" i="11" s="1"/>
  <c r="J123" i="11"/>
  <c r="K123" i="11" s="1"/>
  <c r="L123" i="11" s="1"/>
  <c r="J124" i="11"/>
  <c r="K124" i="11" s="1"/>
  <c r="L124" i="11" s="1"/>
  <c r="J125" i="11"/>
  <c r="K125" i="11" s="1"/>
  <c r="L125" i="11" s="1"/>
  <c r="J126" i="11"/>
  <c r="K126" i="11" s="1"/>
  <c r="L126" i="11" s="1"/>
  <c r="J127" i="11"/>
  <c r="K127" i="11" s="1"/>
  <c r="L127" i="11" s="1"/>
  <c r="J130" i="11"/>
  <c r="K130" i="11" s="1"/>
  <c r="L130" i="11" s="1"/>
  <c r="J131" i="11"/>
  <c r="K131" i="11" s="1"/>
  <c r="L131" i="11" s="1"/>
  <c r="J132" i="11"/>
  <c r="K132" i="11" s="1"/>
  <c r="L132" i="11" s="1"/>
  <c r="J205" i="2"/>
  <c r="J206" i="2"/>
  <c r="J204" i="2"/>
  <c r="J203" i="2"/>
  <c r="J202" i="2"/>
  <c r="J201" i="2"/>
  <c r="J83" i="2"/>
  <c r="J84" i="2"/>
  <c r="H128" i="11"/>
  <c r="J128" i="11" s="1"/>
  <c r="K128" i="11" s="1"/>
  <c r="L128" i="11" s="1"/>
  <c r="H129" i="11"/>
  <c r="I129" i="11" s="1"/>
  <c r="H87" i="11"/>
  <c r="J87" i="11" s="1"/>
  <c r="K87" i="11" s="1"/>
  <c r="L87" i="11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J51" i="2"/>
  <c r="J44" i="2"/>
  <c r="J42" i="2"/>
  <c r="J41" i="2"/>
  <c r="J20" i="2"/>
  <c r="J19" i="2"/>
  <c r="J5" i="2"/>
  <c r="E12" i="14"/>
  <c r="E3" i="14"/>
  <c r="E4" i="14"/>
  <c r="E5" i="14"/>
  <c r="E6" i="14"/>
  <c r="E9" i="14"/>
  <c r="E10" i="14"/>
  <c r="E11" i="14"/>
  <c r="E2" i="14"/>
  <c r="I128" i="11" l="1"/>
  <c r="I87" i="11"/>
  <c r="J129" i="11"/>
  <c r="K129" i="11" s="1"/>
  <c r="L129" i="11" s="1"/>
  <c r="N2" i="11"/>
</calcChain>
</file>

<file path=xl/sharedStrings.xml><?xml version="1.0" encoding="utf-8"?>
<sst xmlns="http://schemas.openxmlformats.org/spreadsheetml/2006/main" count="6751" uniqueCount="1133">
  <si>
    <t>Email</t>
  </si>
  <si>
    <t>Nguyễn Thị Vân Anh</t>
  </si>
  <si>
    <t>vant@gmail.com</t>
  </si>
  <si>
    <t>0962735841</t>
  </si>
  <si>
    <t>Trương Đức Mạnh</t>
  </si>
  <si>
    <t>manhtd@gmail.com</t>
  </si>
  <si>
    <t>0283776251</t>
  </si>
  <si>
    <t>Áo sơ mi thắt eo</t>
  </si>
  <si>
    <t>Trắng</t>
  </si>
  <si>
    <t>Đen</t>
  </si>
  <si>
    <t>Size</t>
  </si>
  <si>
    <t>M</t>
  </si>
  <si>
    <t>XL</t>
  </si>
  <si>
    <t>Xám</t>
  </si>
  <si>
    <t>Áo thun unisex tay ngắn S.cafe x Brown form fitted</t>
  </si>
  <si>
    <t>L</t>
  </si>
  <si>
    <t>Nguyễn Minh Nghĩa</t>
  </si>
  <si>
    <t>nghianm@gmail.com</t>
  </si>
  <si>
    <t>0862735791</t>
  </si>
  <si>
    <t>XXL</t>
  </si>
  <si>
    <t>S</t>
  </si>
  <si>
    <t>Đỏ</t>
  </si>
  <si>
    <t>Trần Thiên Hạo</t>
  </si>
  <si>
    <t>Phí Minh Quang</t>
  </si>
  <si>
    <t>Nguyễn Ngọc Mỹ Kỳ</t>
  </si>
  <si>
    <t>Trần Ngọc My</t>
  </si>
  <si>
    <t>Phí Quỳnh Anh</t>
  </si>
  <si>
    <t>Bùi Bích Phương</t>
  </si>
  <si>
    <t>Trần Nhã Uyên</t>
  </si>
  <si>
    <t>Xanh đen</t>
  </si>
  <si>
    <t>Be</t>
  </si>
  <si>
    <t>XS</t>
  </si>
  <si>
    <t>Xanh rêu</t>
  </si>
  <si>
    <t>Trần Văn Thắng</t>
  </si>
  <si>
    <t>Hoàng Anh Duy</t>
  </si>
  <si>
    <t>Nguyễn Thành Đạt</t>
  </si>
  <si>
    <t>Trần Tấn Tài</t>
  </si>
  <si>
    <t>Trần Anh Khôi</t>
  </si>
  <si>
    <t>Nguyễn Hoàng Huy</t>
  </si>
  <si>
    <t>Võ Tấn Huy</t>
  </si>
  <si>
    <t>Lê Anh Kiệt</t>
  </si>
  <si>
    <t>Lê Ngọc Hân</t>
  </si>
  <si>
    <t>Châu Đan Hạnh</t>
  </si>
  <si>
    <t>Lê Kiều Gia Hân</t>
  </si>
  <si>
    <t>Nguyễn Mai Hân</t>
  </si>
  <si>
    <t>Phạm Thị Hoàng Oanh</t>
  </si>
  <si>
    <t>Nguyễn Hoàng Ly</t>
  </si>
  <si>
    <t>Bạch Ngọc My</t>
  </si>
  <si>
    <t>Hồ Hoàn Mỹ</t>
  </si>
  <si>
    <t>Nguyễn Thùy Ngọc Hân</t>
  </si>
  <si>
    <t>Phan Thị Tuyết Giang</t>
  </si>
  <si>
    <t>Trần Thanh Nhàn</t>
  </si>
  <si>
    <t>Võ Nguyễn Tường Vy</t>
  </si>
  <si>
    <t>Nguyễn Đào Hồng Như</t>
  </si>
  <si>
    <t>Lê Thị Minh Hằng</t>
  </si>
  <si>
    <t>Nguyễn Lê Bảo Hân</t>
  </si>
  <si>
    <t>Phan Thanh Mai</t>
  </si>
  <si>
    <t>Trần Ngọc Mai</t>
  </si>
  <si>
    <t>Lữ Thị Đào</t>
  </si>
  <si>
    <t>quangpm@gmail.com</t>
  </si>
  <si>
    <t>kynnm@gmail.com</t>
  </si>
  <si>
    <t>anhpq@gmail.com</t>
  </si>
  <si>
    <t>phuongbb@gmail.com</t>
  </si>
  <si>
    <t>uyentn@gmail.com</t>
  </si>
  <si>
    <t>hanln@gmail.com</t>
  </si>
  <si>
    <t>thangtv@gmail.com</t>
  </si>
  <si>
    <t>duyha@gmail.com</t>
  </si>
  <si>
    <t>datnt@gmail.com</t>
  </si>
  <si>
    <t>hanlkg@gmail.com</t>
  </si>
  <si>
    <t>oanhpth@gmail.com</t>
  </si>
  <si>
    <t>lynh@gmail.com</t>
  </si>
  <si>
    <t>mybn@gmail.com</t>
  </si>
  <si>
    <t>myhh@gmail.com</t>
  </si>
  <si>
    <t>hangltm@gmail.com</t>
  </si>
  <si>
    <t>hannlb@gmail.com</t>
  </si>
  <si>
    <t>maipt@gmail.com</t>
  </si>
  <si>
    <t>maitn@gmail.com</t>
  </si>
  <si>
    <t>daoltt@gmail.com</t>
  </si>
  <si>
    <t>taitt@gmail.com</t>
  </si>
  <si>
    <t>khoita@gmail.com</t>
  </si>
  <si>
    <t xml:space="preserve">0917823409  </t>
  </si>
  <si>
    <t>0962871435</t>
  </si>
  <si>
    <t>0829346501</t>
  </si>
  <si>
    <t>0794562380</t>
  </si>
  <si>
    <t xml:space="preserve">0832149760  </t>
  </si>
  <si>
    <t xml:space="preserve">0908231567  </t>
  </si>
  <si>
    <t xml:space="preserve">0283912048  </t>
  </si>
  <si>
    <t xml:space="preserve">0931678201  </t>
  </si>
  <si>
    <t xml:space="preserve">0875204319  </t>
  </si>
  <si>
    <t xml:space="preserve">0928457130  </t>
  </si>
  <si>
    <t xml:space="preserve">0298361470  </t>
  </si>
  <si>
    <t xml:space="preserve">0813496725  </t>
  </si>
  <si>
    <t xml:space="preserve">0775396842  </t>
  </si>
  <si>
    <t xml:space="preserve">0869014328  </t>
  </si>
  <si>
    <t xml:space="preserve">0987264309  </t>
  </si>
  <si>
    <t xml:space="preserve">0920475832  </t>
  </si>
  <si>
    <t xml:space="preserve">0827349160  </t>
  </si>
  <si>
    <t xml:space="preserve">0965482130  </t>
  </si>
  <si>
    <t xml:space="preserve">0936872041  </t>
  </si>
  <si>
    <t>0704957126</t>
  </si>
  <si>
    <t xml:space="preserve">0891306452  </t>
  </si>
  <si>
    <t xml:space="preserve">0830947512  </t>
  </si>
  <si>
    <t xml:space="preserve">0982013476  </t>
  </si>
  <si>
    <t xml:space="preserve">0901862435  </t>
  </si>
  <si>
    <t xml:space="preserve">0817623495  </t>
  </si>
  <si>
    <t xml:space="preserve">0937581206  </t>
  </si>
  <si>
    <t xml:space="preserve">0912435678  </t>
  </si>
  <si>
    <t xml:space="preserve">0904628731  </t>
  </si>
  <si>
    <t xml:space="preserve">0971048362  </t>
  </si>
  <si>
    <t xml:space="preserve">0897402513  </t>
  </si>
  <si>
    <t>0704957127</t>
  </si>
  <si>
    <t>0704957129</t>
  </si>
  <si>
    <t>Nguyễn Thị Bảo Trân</t>
  </si>
  <si>
    <t>Trần Minh Khang</t>
  </si>
  <si>
    <t>Lê Ngọc Tuyền</t>
  </si>
  <si>
    <t>Phạm Tuấn Anh</t>
  </si>
  <si>
    <t>Võ Thị Cẩm Tiên</t>
  </si>
  <si>
    <t>Đỗ Đức Thịnh</t>
  </si>
  <si>
    <t>Lê Hồng Nhung</t>
  </si>
  <si>
    <t>Huỳnh Mỹ Duyên</t>
  </si>
  <si>
    <t>Trịnh Quốc Huy</t>
  </si>
  <si>
    <t>Nguyễn Thị Khánh Linh</t>
  </si>
  <si>
    <t>Phan Anh Tú</t>
  </si>
  <si>
    <t>Lương Thanh Hằng</t>
  </si>
  <si>
    <t>Nguyễn Quang Hòa</t>
  </si>
  <si>
    <t>Hồ Gia Hân</t>
  </si>
  <si>
    <t>Vũ Đức Minh</t>
  </si>
  <si>
    <t>Nguyễn Hà My</t>
  </si>
  <si>
    <t>Trần Thanh Long</t>
  </si>
  <si>
    <t>Lê Thị Minh Trang</t>
  </si>
  <si>
    <t>Phan Mạnh Quỳnh</t>
  </si>
  <si>
    <t>Bùi Thảo Ly</t>
  </si>
  <si>
    <t xml:space="preserve">0968312045  </t>
  </si>
  <si>
    <t xml:space="preserve">0892341056  </t>
  </si>
  <si>
    <t xml:space="preserve">0706548231  </t>
  </si>
  <si>
    <t xml:space="preserve">0829381046  </t>
  </si>
  <si>
    <t xml:space="preserve">0920346582  </t>
  </si>
  <si>
    <t xml:space="preserve">0987653412  </t>
  </si>
  <si>
    <t xml:space="preserve">0901245786  </t>
  </si>
  <si>
    <t xml:space="preserve">0973569840  </t>
  </si>
  <si>
    <t xml:space="preserve">0869341028  </t>
  </si>
  <si>
    <t xml:space="preserve">0909456217  </t>
  </si>
  <si>
    <t xml:space="preserve">0921384059  </t>
  </si>
  <si>
    <t xml:space="preserve">0826410938  </t>
  </si>
  <si>
    <t xml:space="preserve">0879132460  </t>
  </si>
  <si>
    <t xml:space="preserve">0839201476  </t>
  </si>
  <si>
    <t xml:space="preserve">0916472309  </t>
  </si>
  <si>
    <t xml:space="preserve">0971348025  </t>
  </si>
  <si>
    <t xml:space="preserve">0823674901  </t>
  </si>
  <si>
    <t xml:space="preserve">0709436521 </t>
  </si>
  <si>
    <t xml:space="preserve">0903281764 </t>
  </si>
  <si>
    <t xml:space="preserve">0918273645 </t>
  </si>
  <si>
    <t xml:space="preserve">0932847619 </t>
  </si>
  <si>
    <t xml:space="preserve">0907436128 </t>
  </si>
  <si>
    <t>Lưu Diệc Phi</t>
  </si>
  <si>
    <t>Hà Quang Huy</t>
  </si>
  <si>
    <t>0261735712</t>
  </si>
  <si>
    <t>phild@gmail.com</t>
  </si>
  <si>
    <t>0862128901</t>
  </si>
  <si>
    <t>Áo hoodie trơn basic unisex</t>
  </si>
  <si>
    <t>Gender</t>
  </si>
  <si>
    <t>PhoneNumber</t>
  </si>
  <si>
    <t>Ward/Commune</t>
  </si>
  <si>
    <t>Province/City</t>
  </si>
  <si>
    <t>Phường Bến Nghé</t>
  </si>
  <si>
    <t>Phường Đống Đa</t>
  </si>
  <si>
    <t>Phường Gò Vấp</t>
  </si>
  <si>
    <t>Phường Phú Nhuận</t>
  </si>
  <si>
    <t>Phường Quán Toan</t>
  </si>
  <si>
    <t>Phường Đồng Xuân</t>
  </si>
  <si>
    <t>Phường Cửa Nam</t>
  </si>
  <si>
    <t>Phường Nguyễn Du</t>
  </si>
  <si>
    <t>Phường Hòa Cường Nam</t>
  </si>
  <si>
    <t>Phường Kim Liên</t>
  </si>
  <si>
    <t>Phường Phú Lợi</t>
  </si>
  <si>
    <t>Phường Tràng An</t>
  </si>
  <si>
    <t>Phường Tăng Nhơn Phú</t>
  </si>
  <si>
    <t>Phường Phú Hải</t>
  </si>
  <si>
    <t>Phường Tân Thạnh</t>
  </si>
  <si>
    <t>Phường Đức Thắng</t>
  </si>
  <si>
    <t>Phường Hàm Rồng</t>
  </si>
  <si>
    <t>Phường Hải Thành</t>
  </si>
  <si>
    <t>Phường Xuân Hòa</t>
  </si>
  <si>
    <t>Phường Hưng Lợi</t>
  </si>
  <si>
    <t>Phường Bình Thạnh</t>
  </si>
  <si>
    <t>Phường Trần Phú</t>
  </si>
  <si>
    <t>Phường Cổ Nhuế</t>
  </si>
  <si>
    <t>Phường Phú Thủy</t>
  </si>
  <si>
    <t>Phường Hải Châu</t>
  </si>
  <si>
    <t>Xã Nam Sơn</t>
  </si>
  <si>
    <t>Phường Đông Xuyên</t>
  </si>
  <si>
    <t>Phường An Khánh</t>
  </si>
  <si>
    <t>Phường Vạn Hương</t>
  </si>
  <si>
    <t>Thành phố Hồ Chí Minh</t>
  </si>
  <si>
    <t>Thành phố Hà Nội</t>
  </si>
  <si>
    <t>Tỉnh Nghệ An</t>
  </si>
  <si>
    <t>Tỉnh Quảng Ninh</t>
  </si>
  <si>
    <t>Thành phố Hải Phòng</t>
  </si>
  <si>
    <t>Thành phố Đà Nẵng</t>
  </si>
  <si>
    <t>Tỉnh Lào Cai</t>
  </si>
  <si>
    <t>Tỉnh Bắc Ninh</t>
  </si>
  <si>
    <t>Tỉnh Long An</t>
  </si>
  <si>
    <t>Tỉnh Lâm Đồng</t>
  </si>
  <si>
    <t>Tỉnh Thanh Hóa</t>
  </si>
  <si>
    <t>Tỉnh Đồng Nai</t>
  </si>
  <si>
    <t>Tỉnh Nam Định</t>
  </si>
  <si>
    <t>Thành phố Cần Thơ</t>
  </si>
  <si>
    <t>Tỉnh Bắc Giang</t>
  </si>
  <si>
    <t>Tỉnh Hưng Yên</t>
  </si>
  <si>
    <t>Tỉnh Đồng Tháp</t>
  </si>
  <si>
    <t>Tỉnh Thừa Thiên Huế</t>
  </si>
  <si>
    <t>Phường Trảng Dài</t>
  </si>
  <si>
    <t>0843157092</t>
  </si>
  <si>
    <t>Phường Vũng Tàu</t>
  </si>
  <si>
    <t>Tỉnh Vĩnh Long</t>
  </si>
  <si>
    <t>Xã Hiếu Phụng</t>
  </si>
  <si>
    <t>Phường Tân Thuận</t>
  </si>
  <si>
    <t>Bùi Nhật Minh</t>
  </si>
  <si>
    <t>Trần Thanh Phi</t>
  </si>
  <si>
    <t>Store_ID</t>
  </si>
  <si>
    <t>STO_001</t>
  </si>
  <si>
    <t>Phường Hạnh Thông</t>
  </si>
  <si>
    <t>STO_002</t>
  </si>
  <si>
    <t>STO_003</t>
  </si>
  <si>
    <t>Phường Sài Gòn</t>
  </si>
  <si>
    <t>STO_004</t>
  </si>
  <si>
    <t>STO_005</t>
  </si>
  <si>
    <t>STO_006</t>
  </si>
  <si>
    <t>Product_ID</t>
  </si>
  <si>
    <t>Category_ID</t>
  </si>
  <si>
    <t>Category_Name</t>
  </si>
  <si>
    <t>Áo thun</t>
  </si>
  <si>
    <t>Áo khoác</t>
  </si>
  <si>
    <t>Product_Name</t>
  </si>
  <si>
    <t>Partner_ID</t>
  </si>
  <si>
    <t>Áo sơ mi</t>
  </si>
  <si>
    <t>Áo polo</t>
  </si>
  <si>
    <t>Áo hoodie, sweatshirt</t>
  </si>
  <si>
    <t>Quần dài</t>
  </si>
  <si>
    <t>Quần short</t>
  </si>
  <si>
    <t>Váy</t>
  </si>
  <si>
    <t>Emp_ID</t>
  </si>
  <si>
    <t>Emp_Name</t>
  </si>
  <si>
    <t>Nguyễn Minh Tuấn</t>
  </si>
  <si>
    <t>Trần Thị Mai Anh</t>
  </si>
  <si>
    <t>Lê Văn Hưng</t>
  </si>
  <si>
    <t>Nguyễn Thảo Nguyên</t>
  </si>
  <si>
    <t>Phạm Đức Duy</t>
  </si>
  <si>
    <t>Lê Khánh Huyền</t>
  </si>
  <si>
    <t>Trần Quốc Bảo</t>
  </si>
  <si>
    <t>Võ Minh Nhật</t>
  </si>
  <si>
    <t>Nguyễn Bảo Trân</t>
  </si>
  <si>
    <t>Phan Văn Tài</t>
  </si>
  <si>
    <t>Đặng Thuỳ Dương</t>
  </si>
  <si>
    <t>Hồ Đức Thịnh</t>
  </si>
  <si>
    <t>Nguyễn Hà Vy</t>
  </si>
  <si>
    <t>Vũ Ngọc Quý</t>
  </si>
  <si>
    <t>Đoàn Hữu Lộc</t>
  </si>
  <si>
    <t>Phan Ngọc Phương</t>
  </si>
  <si>
    <t>Nguyễn Quốc Đạt</t>
  </si>
  <si>
    <t>Trần Thị Kim Ngân</t>
  </si>
  <si>
    <t>Mai Thị Yến Nhi</t>
  </si>
  <si>
    <t>Lê Minh Khôi</t>
  </si>
  <si>
    <t>Bùi Phương Linh</t>
  </si>
  <si>
    <t>Trần Văn Thành</t>
  </si>
  <si>
    <t>Lâm Thị Hồng Gấm</t>
  </si>
  <si>
    <t>Nguyễn Hoàng Anh</t>
  </si>
  <si>
    <t>Lý Gia Bảo</t>
  </si>
  <si>
    <t>0901234561</t>
  </si>
  <si>
    <t>0902345672</t>
  </si>
  <si>
    <t>0903456783</t>
  </si>
  <si>
    <t>0904567894</t>
  </si>
  <si>
    <t>0905678905</t>
  </si>
  <si>
    <t>0906789016</t>
  </si>
  <si>
    <t>0907890127</t>
  </si>
  <si>
    <t>0908901238</t>
  </si>
  <si>
    <t>0909012349</t>
  </si>
  <si>
    <t>0910123450</t>
  </si>
  <si>
    <t>0911234561</t>
  </si>
  <si>
    <t>0912345672</t>
  </si>
  <si>
    <t>0913456783</t>
  </si>
  <si>
    <t>0914567894</t>
  </si>
  <si>
    <t>0915678905</t>
  </si>
  <si>
    <t>0916789016</t>
  </si>
  <si>
    <t>0917890127</t>
  </si>
  <si>
    <t>0918901238</t>
  </si>
  <si>
    <t>0919012349</t>
  </si>
  <si>
    <t>0920123450</t>
  </si>
  <si>
    <t>0921234561</t>
  </si>
  <si>
    <t>0922345672</t>
  </si>
  <si>
    <t>0923456783</t>
  </si>
  <si>
    <t>0924567894</t>
  </si>
  <si>
    <t>0925678905</t>
  </si>
  <si>
    <t>Is_Customer</t>
  </si>
  <si>
    <t>Is_Supplier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</si>
  <si>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</si>
  <si>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</si>
  <si>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</si>
  <si>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</si>
  <si>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</si>
  <si>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</si>
  <si>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</si>
  <si>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</si>
  <si>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</si>
  <si>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</si>
  <si>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</si>
  <si>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</si>
  <si>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</si>
  <si>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</si>
  <si>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</si>
  <si>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</si>
  <si>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</si>
  <si>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</si>
  <si>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</si>
  <si>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</si>
  <si>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</si>
  <si>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</si>
  <si>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</si>
  <si>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</si>
  <si>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</si>
  <si>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</si>
  <si>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</si>
  <si>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</si>
  <si>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</si>
  <si>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</si>
  <si>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</si>
  <si>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</si>
  <si>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</si>
  <si>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</si>
  <si>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</si>
  <si>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</si>
  <si>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</si>
  <si>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</si>
  <si>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</si>
  <si>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</si>
  <si>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</si>
  <si>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</si>
  <si>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</si>
  <si>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</si>
  <si>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</si>
  <si>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</si>
  <si>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</si>
  <si>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</si>
  <si>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</si>
  <si>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</si>
  <si>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</si>
  <si>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</si>
  <si>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</si>
  <si>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</si>
  <si>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</si>
  <si>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</si>
  <si>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</si>
  <si>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</si>
  <si>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</si>
  <si>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</si>
  <si>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</si>
  <si>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</si>
  <si>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</si>
  <si>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</si>
  <si>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</si>
  <si>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</si>
  <si>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</si>
  <si>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</si>
  <si>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</si>
  <si>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</si>
  <si>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</si>
  <si>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</si>
  <si>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CAT0001</t>
  </si>
  <si>
    <t>CAT0002</t>
  </si>
  <si>
    <t>CAT0003</t>
  </si>
  <si>
    <t>CAT0004</t>
  </si>
  <si>
    <t>CAT0005</t>
  </si>
  <si>
    <t>CAT0006</t>
  </si>
  <si>
    <t>CAT0007</t>
  </si>
  <si>
    <t>CAT0008</t>
  </si>
  <si>
    <t>CAT0009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</si>
  <si>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</si>
  <si>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</si>
  <si>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</si>
  <si>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</si>
  <si>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</si>
  <si>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</si>
  <si>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</si>
  <si>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</si>
  <si>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</si>
  <si>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</si>
  <si>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</si>
  <si>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</si>
  <si>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</si>
  <si>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</si>
  <si>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</si>
  <si>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</si>
  <si>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</si>
  <si>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</si>
  <si>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</si>
  <si>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</si>
  <si>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</si>
  <si>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</si>
  <si>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</si>
  <si>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</si>
  <si>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</si>
  <si>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Cat_ID</t>
  </si>
  <si>
    <t>Color</t>
  </si>
  <si>
    <t>Quantity</t>
  </si>
  <si>
    <t>ImportPrice</t>
  </si>
  <si>
    <t>ExportPrice</t>
  </si>
  <si>
    <t>Áo thun tay ngắn cotton form regular cổ tròn</t>
  </si>
  <si>
    <t>Áo thun tay ngắn vải cafe hình thêu fitted</t>
  </si>
  <si>
    <t>Áo polo tay ngắn miếng patch ngực</t>
  </si>
  <si>
    <t>Áo polo tay ngắn nhãn silicone</t>
  </si>
  <si>
    <t>Quần short cotton diễu mí gân form relax</t>
  </si>
  <si>
    <t>Áo thun tay ngắn phối rib trang trí</t>
  </si>
  <si>
    <t>Áo hai dây bản to cotton form regular</t>
  </si>
  <si>
    <t>Áo tanktop cotton phối tape form loose</t>
  </si>
  <si>
    <t>Quần short in chữ Relax</t>
  </si>
  <si>
    <t>Áo sơ mi tay ngắn tape trang trí</t>
  </si>
  <si>
    <t>Áo thun tay ngắn sọc ngang</t>
  </si>
  <si>
    <t>Áo croptop tay ngắn vải linen form regular</t>
  </si>
  <si>
    <t>Quần short cotton lưng chun túi sau relax</t>
  </si>
  <si>
    <t>Quần short xếp ly công sở form loose</t>
  </si>
  <si>
    <t>Quần short cotton kẻ sọc form loose</t>
  </si>
  <si>
    <t>Áo sơ mi cộc tay poly rayon xám form regular</t>
  </si>
  <si>
    <t>Áo thun tay ngắn cổ vuông.Fitted Cropped</t>
  </si>
  <si>
    <t>Áo khoác bomber Regular</t>
  </si>
  <si>
    <t>Áo khoác thể thao chống tia UV bo chun loose</t>
  </si>
  <si>
    <t>Quần short nylon vải dù túi đắp relax</t>
  </si>
  <si>
    <t>Quần short linen hoạ tiết Relax</t>
  </si>
  <si>
    <t>Áo thun tay ngắn sọc ngang lớn jacquard loose</t>
  </si>
  <si>
    <t>Quần dài kaki Wide leg</t>
  </si>
  <si>
    <t xml:space="preserve">Chân váy chữ A công sở </t>
  </si>
  <si>
    <t>Áo thun tay ngắn cổ chữ V màu trơn</t>
  </si>
  <si>
    <t>Chân váy chữ A công sở</t>
  </si>
  <si>
    <t>Quần short denim</t>
  </si>
  <si>
    <t>Áo hoodie thêu cờ Việt Nam</t>
  </si>
  <si>
    <t>Xanh than</t>
  </si>
  <si>
    <t>Trắng sọc</t>
  </si>
  <si>
    <t>Đen sọc trắng</t>
  </si>
  <si>
    <t>Navy</t>
  </si>
  <si>
    <t>Hồng pastel</t>
  </si>
  <si>
    <t>Trắng sọc navy</t>
  </si>
  <si>
    <t>Nâu cafe</t>
  </si>
  <si>
    <t>Trắng sữa</t>
  </si>
  <si>
    <t>Nâu nhạt</t>
  </si>
  <si>
    <t>Hồng đất</t>
  </si>
  <si>
    <t>Áo thun ba lỗ</t>
  </si>
  <si>
    <t>Xám đậm</t>
  </si>
  <si>
    <t>Vàng nhạt</t>
  </si>
  <si>
    <t>Áo kiểu (croptop/tanktop/2 dây)</t>
  </si>
  <si>
    <t>Nude</t>
  </si>
  <si>
    <t>Áo hai dây</t>
  </si>
  <si>
    <t>Rêu</t>
  </si>
  <si>
    <t>Xám khói</t>
  </si>
  <si>
    <t>Ghi xám</t>
  </si>
  <si>
    <t>Đen in chữ trắng</t>
  </si>
  <si>
    <t>Xanh jean nhạt</t>
  </si>
  <si>
    <t>Kẻ xanh</t>
  </si>
  <si>
    <t>Kẻ xám</t>
  </si>
  <si>
    <t>Trắng hoạ tiết</t>
  </si>
  <si>
    <t>Chân váy ngắn nữ xếp ly hai lớp Aline</t>
  </si>
  <si>
    <t>Chân váy denim nữ A line</t>
  </si>
  <si>
    <t>Xanh nhạt</t>
  </si>
  <si>
    <t>Xanh đậm</t>
  </si>
  <si>
    <t>SP000001</t>
  </si>
  <si>
    <t>SP000002</t>
  </si>
  <si>
    <t>SP000003</t>
  </si>
  <si>
    <t>SP000004</t>
  </si>
  <si>
    <t>SP000005</t>
  </si>
  <si>
    <t>SP000006</t>
  </si>
  <si>
    <t>SP000007</t>
  </si>
  <si>
    <t>SP000008</t>
  </si>
  <si>
    <t>SP000009</t>
  </si>
  <si>
    <t>SP000010</t>
  </si>
  <si>
    <t>SP000011</t>
  </si>
  <si>
    <t>SP000012</t>
  </si>
  <si>
    <t>SP000013</t>
  </si>
  <si>
    <t>SP000014</t>
  </si>
  <si>
    <t>SP000015</t>
  </si>
  <si>
    <t>SP000016</t>
  </si>
  <si>
    <t>SP000017</t>
  </si>
  <si>
    <t>SP000018</t>
  </si>
  <si>
    <t>SP000019</t>
  </si>
  <si>
    <t>SP000020</t>
  </si>
  <si>
    <t>SP000021</t>
  </si>
  <si>
    <t>SP000022</t>
  </si>
  <si>
    <t>SP000023</t>
  </si>
  <si>
    <t>SP000024</t>
  </si>
  <si>
    <t>SP000025</t>
  </si>
  <si>
    <t>SP000026</t>
  </si>
  <si>
    <t>SP000027</t>
  </si>
  <si>
    <t>SP000028</t>
  </si>
  <si>
    <t>SP000029</t>
  </si>
  <si>
    <t>SP000030</t>
  </si>
  <si>
    <t>SP000031</t>
  </si>
  <si>
    <t>SP000032</t>
  </si>
  <si>
    <t>SP000033</t>
  </si>
  <si>
    <t>SP000034</t>
  </si>
  <si>
    <t>SP000035</t>
  </si>
  <si>
    <t>SP000036</t>
  </si>
  <si>
    <t>SP000037</t>
  </si>
  <si>
    <t>SP000038</t>
  </si>
  <si>
    <t>SP000039</t>
  </si>
  <si>
    <t>SP000040</t>
  </si>
  <si>
    <t>SP000041</t>
  </si>
  <si>
    <t>SP000042</t>
  </si>
  <si>
    <t>SP000043</t>
  </si>
  <si>
    <t>SP000044</t>
  </si>
  <si>
    <t>SP000045</t>
  </si>
  <si>
    <t>SP000046</t>
  </si>
  <si>
    <t>SP000047</t>
  </si>
  <si>
    <t>SP000048</t>
  </si>
  <si>
    <t>SP000049</t>
  </si>
  <si>
    <t>SP000050</t>
  </si>
  <si>
    <t>SP000051</t>
  </si>
  <si>
    <t>SP000052</t>
  </si>
  <si>
    <t>SP000053</t>
  </si>
  <si>
    <t>SP000054</t>
  </si>
  <si>
    <t>SP000055</t>
  </si>
  <si>
    <t>SP000056</t>
  </si>
  <si>
    <t>SP000057</t>
  </si>
  <si>
    <t>SP000058</t>
  </si>
  <si>
    <t>SP000059</t>
  </si>
  <si>
    <t>SP000060</t>
  </si>
  <si>
    <t>SP000061</t>
  </si>
  <si>
    <t>SP000062</t>
  </si>
  <si>
    <t>SP000063</t>
  </si>
  <si>
    <t>SP000064</t>
  </si>
  <si>
    <t>SP000065</t>
  </si>
  <si>
    <t>SP000066</t>
  </si>
  <si>
    <t>SP000067</t>
  </si>
  <si>
    <t>SP000068</t>
  </si>
  <si>
    <t>SP000069</t>
  </si>
  <si>
    <t>SP000070</t>
  </si>
  <si>
    <t>SP000071</t>
  </si>
  <si>
    <t>SP000072</t>
  </si>
  <si>
    <t>SP000073</t>
  </si>
  <si>
    <t>SP000074</t>
  </si>
  <si>
    <t>SP000075</t>
  </si>
  <si>
    <t>SP000076</t>
  </si>
  <si>
    <t>SP000077</t>
  </si>
  <si>
    <t>SP000078</t>
  </si>
  <si>
    <t>SP000079</t>
  </si>
  <si>
    <t>SP000080</t>
  </si>
  <si>
    <t>SP000081</t>
  </si>
  <si>
    <t>SP000082</t>
  </si>
  <si>
    <t>SP000083</t>
  </si>
  <si>
    <t>SP000084</t>
  </si>
  <si>
    <t>SP000085</t>
  </si>
  <si>
    <t>SP000086</t>
  </si>
  <si>
    <t>SP000087</t>
  </si>
  <si>
    <t>SP000088</t>
  </si>
  <si>
    <t>SP000089</t>
  </si>
  <si>
    <t>SP000090</t>
  </si>
  <si>
    <t>SP000091</t>
  </si>
  <si>
    <t>SP000092</t>
  </si>
  <si>
    <t>SP000093</t>
  </si>
  <si>
    <t>SP000094</t>
  </si>
  <si>
    <t>SP000095</t>
  </si>
  <si>
    <t>SP000096</t>
  </si>
  <si>
    <t>SP000097</t>
  </si>
  <si>
    <t>SP000098</t>
  </si>
  <si>
    <t>SP000099</t>
  </si>
  <si>
    <t>SP000100</t>
  </si>
  <si>
    <t>SP000101</t>
  </si>
  <si>
    <t>SP000102</t>
  </si>
  <si>
    <t>SP000103</t>
  </si>
  <si>
    <t>SP000104</t>
  </si>
  <si>
    <t>SP000105</t>
  </si>
  <si>
    <t>SP000106</t>
  </si>
  <si>
    <t>SP000107</t>
  </si>
  <si>
    <t>SP000108</t>
  </si>
  <si>
    <t>SP000109</t>
  </si>
  <si>
    <t>SP000110</t>
  </si>
  <si>
    <t>SP000111</t>
  </si>
  <si>
    <t>SP000112</t>
  </si>
  <si>
    <t>SP000113</t>
  </si>
  <si>
    <t>SP000114</t>
  </si>
  <si>
    <t>SP000115</t>
  </si>
  <si>
    <t>SP000116</t>
  </si>
  <si>
    <t>SP000117</t>
  </si>
  <si>
    <t>SP000118</t>
  </si>
  <si>
    <t>SP000119</t>
  </si>
  <si>
    <t>SP000120</t>
  </si>
  <si>
    <t>SP000121</t>
  </si>
  <si>
    <t>SP000122</t>
  </si>
  <si>
    <t>SP000123</t>
  </si>
  <si>
    <t>SP000124</t>
  </si>
  <si>
    <t>SP000125</t>
  </si>
  <si>
    <t>SP000126</t>
  </si>
  <si>
    <t>SP000127</t>
  </si>
  <si>
    <t>SP000128</t>
  </si>
  <si>
    <t>SP000129</t>
  </si>
  <si>
    <t>SP000130</t>
  </si>
  <si>
    <t>SP000131</t>
  </si>
  <si>
    <t>SP000132</t>
  </si>
  <si>
    <t>SP000133</t>
  </si>
  <si>
    <t>SP000134</t>
  </si>
  <si>
    <t>SP000135</t>
  </si>
  <si>
    <t>SP000136</t>
  </si>
  <si>
    <t>SP000137</t>
  </si>
  <si>
    <t>SP000138</t>
  </si>
  <si>
    <t>SP000139</t>
  </si>
  <si>
    <t>SP000140</t>
  </si>
  <si>
    <t>SP000141</t>
  </si>
  <si>
    <t>SP000142</t>
  </si>
  <si>
    <t>SP000143</t>
  </si>
  <si>
    <t>SP000144</t>
  </si>
  <si>
    <t>SP000145</t>
  </si>
  <si>
    <t>SP000146</t>
  </si>
  <si>
    <t>SP000147</t>
  </si>
  <si>
    <t>SP000148</t>
  </si>
  <si>
    <t>SP000149</t>
  </si>
  <si>
    <t>SP000150</t>
  </si>
  <si>
    <t>SP000151</t>
  </si>
  <si>
    <t>SP000152</t>
  </si>
  <si>
    <t>SP000153</t>
  </si>
  <si>
    <t>SP000154</t>
  </si>
  <si>
    <t>SP000155</t>
  </si>
  <si>
    <t>SP000156</t>
  </si>
  <si>
    <t>SP000157</t>
  </si>
  <si>
    <t>SP000158</t>
  </si>
  <si>
    <t>SP000159</t>
  </si>
  <si>
    <t>SP000160</t>
  </si>
  <si>
    <t>SP000161</t>
  </si>
  <si>
    <t>SP000162</t>
  </si>
  <si>
    <t>SP000163</t>
  </si>
  <si>
    <t>SP000164</t>
  </si>
  <si>
    <t>SP000165</t>
  </si>
  <si>
    <t>SP000166</t>
  </si>
  <si>
    <t>SP000167</t>
  </si>
  <si>
    <t>SP000168</t>
  </si>
  <si>
    <t>SP000169</t>
  </si>
  <si>
    <t>SP000170</t>
  </si>
  <si>
    <t>SP000171</t>
  </si>
  <si>
    <t>SP000172</t>
  </si>
  <si>
    <t>SP000173</t>
  </si>
  <si>
    <t>SP000174</t>
  </si>
  <si>
    <t>SP000175</t>
  </si>
  <si>
    <t>SP000176</t>
  </si>
  <si>
    <t>SP000177</t>
  </si>
  <si>
    <t>SP000178</t>
  </si>
  <si>
    <t>SP000179</t>
  </si>
  <si>
    <t>SP000180</t>
  </si>
  <si>
    <t>SP000181</t>
  </si>
  <si>
    <t>SP000182</t>
  </si>
  <si>
    <t>SP000183</t>
  </si>
  <si>
    <t>SP000184</t>
  </si>
  <si>
    <t>SP000185</t>
  </si>
  <si>
    <t>SP000186</t>
  </si>
  <si>
    <t>SP000187</t>
  </si>
  <si>
    <t>SP000188</t>
  </si>
  <si>
    <t>SP000189</t>
  </si>
  <si>
    <t>SP000190</t>
  </si>
  <si>
    <t>SP000191</t>
  </si>
  <si>
    <t>SP000192</t>
  </si>
  <si>
    <t>SP000193</t>
  </si>
  <si>
    <t>SP000194</t>
  </si>
  <si>
    <t>SP000195</t>
  </si>
  <si>
    <t>SP000196</t>
  </si>
  <si>
    <t>SP000197</t>
  </si>
  <si>
    <t>SP000198</t>
  </si>
  <si>
    <t>SP000199</t>
  </si>
  <si>
    <t>SP000200</t>
  </si>
  <si>
    <t>SP000201</t>
  </si>
  <si>
    <t>SP000202</t>
  </si>
  <si>
    <t>SP000203</t>
  </si>
  <si>
    <t>SP000204</t>
  </si>
  <si>
    <t>SP000205</t>
  </si>
  <si>
    <t>SP000206</t>
  </si>
  <si>
    <t>SP000207</t>
  </si>
  <si>
    <t>SP000208</t>
  </si>
  <si>
    <t>SP000209</t>
  </si>
  <si>
    <t>SP000210</t>
  </si>
  <si>
    <t>SP000211</t>
  </si>
  <si>
    <t>SP000212</t>
  </si>
  <si>
    <t>SP000213</t>
  </si>
  <si>
    <t>SP000214</t>
  </si>
  <si>
    <t>SP000215</t>
  </si>
  <si>
    <t>SP000216</t>
  </si>
  <si>
    <t>SP000217</t>
  </si>
  <si>
    <t>SP000218</t>
  </si>
  <si>
    <t>SP000219</t>
  </si>
  <si>
    <t>SP000220</t>
  </si>
  <si>
    <t>SP000221</t>
  </si>
  <si>
    <t>SP000222</t>
  </si>
  <si>
    <t>SP000223</t>
  </si>
  <si>
    <t>SP000224</t>
  </si>
  <si>
    <t>SP000225</t>
  </si>
  <si>
    <t>SP000226</t>
  </si>
  <si>
    <t>SP000227</t>
  </si>
  <si>
    <t>SP000228</t>
  </si>
  <si>
    <t>SP000229</t>
  </si>
  <si>
    <t>SP000230</t>
  </si>
  <si>
    <t>SP000231</t>
  </si>
  <si>
    <t>SP000232</t>
  </si>
  <si>
    <t>SP000233</t>
  </si>
  <si>
    <t>SP000234</t>
  </si>
  <si>
    <t>SP000235</t>
  </si>
  <si>
    <t>SP000236</t>
  </si>
  <si>
    <t>SP000237</t>
  </si>
  <si>
    <t>SP000238</t>
  </si>
  <si>
    <t>SP000239</t>
  </si>
  <si>
    <t>SP000240</t>
  </si>
  <si>
    <t>SP000241</t>
  </si>
  <si>
    <t>SP000242</t>
  </si>
  <si>
    <t>SP000243</t>
  </si>
  <si>
    <t>SP000244</t>
  </si>
  <si>
    <t>SP000245</t>
  </si>
  <si>
    <t>SP000246</t>
  </si>
  <si>
    <t>SP000247</t>
  </si>
  <si>
    <t>SP000248</t>
  </si>
  <si>
    <t>SP000249</t>
  </si>
  <si>
    <t>SP000250</t>
  </si>
  <si>
    <t>SP000251</t>
  </si>
  <si>
    <t>SP000252</t>
  </si>
  <si>
    <t>SP000253</t>
  </si>
  <si>
    <t>SP000254</t>
  </si>
  <si>
    <t>SP000255</t>
  </si>
  <si>
    <t>SP000256</t>
  </si>
  <si>
    <t>SP000257</t>
  </si>
  <si>
    <t>SP000258</t>
  </si>
  <si>
    <t>SP000259</t>
  </si>
  <si>
    <t>SP000260</t>
  </si>
  <si>
    <t>SP000261</t>
  </si>
  <si>
    <t>SP000262</t>
  </si>
  <si>
    <t>SP000263</t>
  </si>
  <si>
    <t>SP000264</t>
  </si>
  <si>
    <t>SP000265</t>
  </si>
  <si>
    <t>SP000266</t>
  </si>
  <si>
    <t>SP000267</t>
  </si>
  <si>
    <t>SP000268</t>
  </si>
  <si>
    <t>SP000269</t>
  </si>
  <si>
    <t>SP000270</t>
  </si>
  <si>
    <t>SP000271</t>
  </si>
  <si>
    <t>SP000272</t>
  </si>
  <si>
    <t>SP000273</t>
  </si>
  <si>
    <t>SP000274</t>
  </si>
  <si>
    <t>SP000275</t>
  </si>
  <si>
    <t>SP000276</t>
  </si>
  <si>
    <t>SP000277</t>
  </si>
  <si>
    <t>SP000278</t>
  </si>
  <si>
    <t>SP000279</t>
  </si>
  <si>
    <t>SP000280</t>
  </si>
  <si>
    <t>SP000281</t>
  </si>
  <si>
    <t>SP000282</t>
  </si>
  <si>
    <t>SP000283</t>
  </si>
  <si>
    <t>SP000284</t>
  </si>
  <si>
    <t>SP000285</t>
  </si>
  <si>
    <t>SP000286</t>
  </si>
  <si>
    <t>SP000287</t>
  </si>
  <si>
    <t>SP000288</t>
  </si>
  <si>
    <t>SP000289</t>
  </si>
  <si>
    <t>SP000290</t>
  </si>
  <si>
    <t>SP000291</t>
  </si>
  <si>
    <t>SP000292</t>
  </si>
  <si>
    <t>SP000293</t>
  </si>
  <si>
    <t>SP000294</t>
  </si>
  <si>
    <t>SP000295</t>
  </si>
  <si>
    <t>SP000296</t>
  </si>
  <si>
    <t>SP000297</t>
  </si>
  <si>
    <t>SP000298</t>
  </si>
  <si>
    <t>SP000299</t>
  </si>
  <si>
    <t>SP000300</t>
  </si>
  <si>
    <t>SP000301</t>
  </si>
  <si>
    <t>SP000302</t>
  </si>
  <si>
    <t>SP000303</t>
  </si>
  <si>
    <t>Order_ID</t>
  </si>
  <si>
    <t>Partner_Name</t>
  </si>
  <si>
    <t>Partner_Phone</t>
  </si>
  <si>
    <t>Create_Date</t>
  </si>
  <si>
    <t>Status</t>
  </si>
  <si>
    <t>SubTotal</t>
  </si>
  <si>
    <t>Discount_Percent</t>
  </si>
  <si>
    <t>Discount_Amount</t>
  </si>
  <si>
    <t>Total</t>
  </si>
  <si>
    <t>ORD00001</t>
  </si>
  <si>
    <t>Đã hoàn thành</t>
  </si>
  <si>
    <t>OrderDetails_ID</t>
  </si>
  <si>
    <t>PriceAtOrderTime</t>
  </si>
  <si>
    <t>Discount_ID</t>
  </si>
  <si>
    <t>Discount_Type</t>
  </si>
  <si>
    <t>Description</t>
  </si>
  <si>
    <t>StartDate</t>
  </si>
  <si>
    <t>EndDate</t>
  </si>
  <si>
    <t>MinQuantity</t>
  </si>
  <si>
    <t>MinTotal</t>
  </si>
  <si>
    <t>DiscountValue</t>
  </si>
  <si>
    <t>ComboQuantity</t>
  </si>
  <si>
    <t>IsActive</t>
  </si>
  <si>
    <t>DIS_001</t>
  </si>
  <si>
    <t>PERCENT</t>
  </si>
  <si>
    <t>Giảm 10% cho đơn từ 500K</t>
  </si>
  <si>
    <t>NULL</t>
  </si>
  <si>
    <t>DIS_002</t>
  </si>
  <si>
    <t>AMOUNT</t>
  </si>
  <si>
    <t>Giảm ngay 50K cho đơn từ 700K</t>
  </si>
  <si>
    <t>DIS_003</t>
  </si>
  <si>
    <t>COMBO</t>
  </si>
  <si>
    <t>DIS_004</t>
  </si>
  <si>
    <t>Giảm 20% cho đơn trên 1 triệu</t>
  </si>
  <si>
    <t>Combo 3 áo chỉ 500.000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</si>
  <si>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</si>
  <si>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</si>
  <si>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</si>
  <si>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</si>
  <si>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</si>
  <si>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</si>
  <si>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</si>
  <si>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</si>
  <si>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</si>
  <si>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</si>
  <si>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</si>
  <si>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</si>
  <si>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</si>
  <si>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</si>
  <si>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</si>
  <si>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</si>
  <si>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</si>
  <si>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</si>
  <si>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</si>
  <si>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</si>
  <si>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Beige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</si>
  <si>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</si>
  <si>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</si>
  <si>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</si>
  <si>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</si>
  <si>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</si>
  <si>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</si>
  <si>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</si>
  <si>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</si>
  <si>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</si>
  <si>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</si>
  <si>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</si>
  <si>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</si>
  <si>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</si>
  <si>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</si>
  <si>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</si>
  <si>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</si>
  <si>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</si>
  <si>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</si>
  <si>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</si>
  <si>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</si>
  <si>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</si>
  <si>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</si>
  <si>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</si>
  <si>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</si>
  <si>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</si>
  <si>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</si>
  <si>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</si>
  <si>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</si>
  <si>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</si>
  <si>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</si>
  <si>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</si>
  <si>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</si>
  <si>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</si>
  <si>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</si>
  <si>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</si>
  <si>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</si>
  <si>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</si>
  <si>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</si>
  <si>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</si>
  <si>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</si>
  <si>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</si>
  <si>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</si>
  <si>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</si>
  <si>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</si>
  <si>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</si>
  <si>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</si>
  <si>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</si>
  <si>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</si>
  <si>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</si>
  <si>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</si>
  <si>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</si>
  <si>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</si>
  <si>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</si>
  <si>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</si>
  <si>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</si>
  <si>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</si>
  <si>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</si>
  <si>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</si>
  <si>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</si>
  <si>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</si>
  <si>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</si>
  <si>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</si>
  <si>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</si>
  <si>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</si>
  <si>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</si>
  <si>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Trắng họa tiết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</si>
  <si>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</si>
  <si>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</si>
  <si>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</si>
  <si>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</si>
  <si>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</si>
  <si>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</si>
  <si>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</si>
  <si>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</si>
  <si>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</si>
  <si>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</si>
  <si>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</si>
  <si>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</si>
  <si>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</si>
  <si>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</si>
  <si>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</si>
  <si>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</si>
  <si>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</si>
  <si>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</si>
  <si>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</si>
  <si>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</si>
  <si>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</si>
  <si>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</si>
  <si>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</si>
  <si>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</si>
  <si>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</si>
  <si>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</si>
  <si>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</si>
  <si>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</si>
  <si>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</si>
  <si>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</si>
  <si>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</si>
  <si>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</si>
  <si>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</si>
  <si>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</si>
  <si>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</si>
  <si>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</si>
  <si>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</si>
  <si>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</si>
  <si>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</si>
  <si>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</si>
  <si>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</si>
  <si>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</si>
  <si>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</si>
  <si>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</si>
  <si>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</si>
  <si>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Import_ID</t>
  </si>
  <si>
    <t>Import_Date</t>
  </si>
  <si>
    <t>IP0001</t>
  </si>
  <si>
    <t>Role</t>
  </si>
  <si>
    <t>Công ty TNHH Dệt May Ánh Dương</t>
  </si>
  <si>
    <t>info@anhduongtextile.com</t>
  </si>
  <si>
    <t>Xưởng May Thời Trang Việt Phong</t>
  </si>
  <si>
    <t>vietphong@gmail.com</t>
  </si>
  <si>
    <t>Công ty CP Sản Xuất May Mặc Hừng Đông</t>
  </si>
  <si>
    <t>contact@hungdongfashion.vn</t>
  </si>
  <si>
    <t>Xưởng Gia Công Áo Thun Phúc Lợi</t>
  </si>
  <si>
    <t>phucloi@gmail.com</t>
  </si>
  <si>
    <t>Doanh nghiệp Tư Nhân Thời Trang Quỳnh Mai</t>
  </si>
  <si>
    <t>quynhmai@gmail.com</t>
  </si>
  <si>
    <t>Công ty TNHH May Mặc Lam Sơn</t>
  </si>
  <si>
    <t>info@lamsonco.vn</t>
  </si>
  <si>
    <t>Xưởng May Gia Công Kim Ngân</t>
  </si>
  <si>
    <t>xuongkimngan@gmail.com</t>
  </si>
  <si>
    <t>Công ty TNHH Sản Xuất Thời Trang VinaTrend</t>
  </si>
  <si>
    <t>support@vinatrend.vn</t>
  </si>
  <si>
    <t>Hộ Kinh Doanh Xưởng May Minh Hưng</t>
  </si>
  <si>
    <t>minhung.xuong@gmail.com</t>
  </si>
  <si>
    <t>Phường Tân Phong</t>
  </si>
  <si>
    <t>Công ty TNHH May Mặc Sài Gòn Style</t>
  </si>
  <si>
    <t>hello@saigonstyle.vn</t>
  </si>
  <si>
    <t>Xưởng May Gia Công Hạ Vy</t>
  </si>
  <si>
    <t>xuonghavy@gmail.com</t>
  </si>
  <si>
    <t>Phường Bình Trị Đông</t>
  </si>
  <si>
    <t>Doanh Nghiệp May Mặc Đại Thành</t>
  </si>
  <si>
    <t>daithanhmaymac@gmail.com</t>
  </si>
  <si>
    <t>0912345678</t>
  </si>
  <si>
    <t>0987654321</t>
  </si>
  <si>
    <t>0901122334</t>
  </si>
  <si>
    <t>0967123456</t>
  </si>
  <si>
    <t>0978345623</t>
  </si>
  <si>
    <t>0834567890</t>
  </si>
  <si>
    <t>0945123789</t>
  </si>
  <si>
    <t>0909765432</t>
  </si>
  <si>
    <t>0923847561</t>
  </si>
  <si>
    <t>0931284765</t>
  </si>
  <si>
    <t>076123405</t>
  </si>
  <si>
    <t>0901234987</t>
  </si>
  <si>
    <t>Manager</t>
  </si>
  <si>
    <t>Staff</t>
  </si>
  <si>
    <t>Hà Thảo Anh</t>
  </si>
  <si>
    <t>0977826315</t>
  </si>
  <si>
    <t>Bùi Công Nam</t>
  </si>
  <si>
    <t>0277817160</t>
  </si>
  <si>
    <t>Lê Thanh Thảo Tâm</t>
  </si>
  <si>
    <t>0891716235</t>
  </si>
  <si>
    <t>Trần Thị Thu Hường</t>
  </si>
  <si>
    <t>0812567100</t>
  </si>
  <si>
    <t>EMP0026</t>
  </si>
  <si>
    <t>EMP0027</t>
  </si>
  <si>
    <t>EMP0028</t>
  </si>
  <si>
    <t>EMP0029</t>
  </si>
  <si>
    <t>IP0002</t>
  </si>
  <si>
    <t>IP0003</t>
  </si>
  <si>
    <t>IP0004</t>
  </si>
  <si>
    <t>IP0005</t>
  </si>
  <si>
    <t>IP0006</t>
  </si>
  <si>
    <t>IP0007</t>
  </si>
  <si>
    <t>IP0008</t>
  </si>
  <si>
    <t>IP0009</t>
  </si>
  <si>
    <t>IP0010</t>
  </si>
  <si>
    <t>IP0011</t>
  </si>
  <si>
    <t>IP0012</t>
  </si>
  <si>
    <t>IP0013</t>
  </si>
  <si>
    <t>IP0014</t>
  </si>
  <si>
    <t>IP0015</t>
  </si>
  <si>
    <t>07/07/2025
15/07/2025</t>
  </si>
  <si>
    <t>ImportDetail_ID</t>
  </si>
  <si>
    <t>Price</t>
  </si>
  <si>
    <t>Return_ID</t>
  </si>
  <si>
    <t>Return_Type</t>
  </si>
  <si>
    <t>Related_Order_ID</t>
  </si>
  <si>
    <t>Related_Import_ID</t>
  </si>
  <si>
    <t>Return_Date</t>
  </si>
  <si>
    <t>Reason</t>
  </si>
  <si>
    <t>Total_Refund</t>
  </si>
  <si>
    <t>Return_Detail_ID</t>
  </si>
  <si>
    <t>Note</t>
  </si>
  <si>
    <t>RET00001</t>
  </si>
  <si>
    <t>RET00002</t>
  </si>
  <si>
    <t>RET00003</t>
  </si>
  <si>
    <t>RET00004</t>
  </si>
  <si>
    <t>RET00005</t>
  </si>
  <si>
    <t>RET00006</t>
  </si>
  <si>
    <t>RET00007</t>
  </si>
  <si>
    <t>RET00008</t>
  </si>
  <si>
    <t>RET00009</t>
  </si>
  <si>
    <t>RET00010</t>
  </si>
  <si>
    <t>SP000304</t>
  </si>
  <si>
    <t>Chân váy bí form nhỏ dáng ngắn cạp thấp</t>
  </si>
  <si>
    <t>Freesize &lt; 60kg</t>
  </si>
  <si>
    <t>Lỗi đường may</t>
  </si>
  <si>
    <t>Áo bị lỗi rách ở cánh tay</t>
  </si>
  <si>
    <t>Sai size</t>
  </si>
  <si>
    <t>Sai màu</t>
  </si>
  <si>
    <t>Giao sai mẫu</t>
  </si>
  <si>
    <t>Áo khoác lỗi may (đứt chỉ)</t>
  </si>
  <si>
    <t>Lô hàng lỗi chất lượng</t>
  </si>
  <si>
    <t xml:space="preserve">Hàng hư hỏng do vận chuyển/đóng gói </t>
  </si>
  <si>
    <t>Phát hiện lỗi trong vòng 24h sau khi nhập kho</t>
  </si>
  <si>
    <t>Phát hiện lỗi khi nhập kho, chưa làm phiếu nhập</t>
  </si>
  <si>
    <t>Birthday</t>
  </si>
  <si>
    <t>Shipping Ward/Commune</t>
  </si>
  <si>
    <t>Shipping Province/City</t>
  </si>
  <si>
    <t>Phường Tân Định</t>
  </si>
  <si>
    <t>An Nhơn</t>
  </si>
  <si>
    <t>Thông Tây Hội</t>
  </si>
  <si>
    <t>An Hội Đông</t>
  </si>
  <si>
    <t>Cầu Kiệu</t>
  </si>
  <si>
    <t>Phú Nhuận</t>
  </si>
  <si>
    <t>Phường Cái Khế</t>
  </si>
  <si>
    <t>Phường Bàn Cờ</t>
  </si>
  <si>
    <t>Phường Khánh Hội</t>
  </si>
  <si>
    <t>Phường Tân Mỹ</t>
  </si>
  <si>
    <t>Phường Tân Thuận</t>
  </si>
  <si>
    <t>Hải Châu</t>
  </si>
  <si>
    <t>Thanh Khê</t>
  </si>
  <si>
    <t>An Khê</t>
  </si>
  <si>
    <t>Ngũ Hành Sơn</t>
  </si>
  <si>
    <t>Cẩm Lệ</t>
  </si>
  <si>
    <t>Sơn Trà</t>
  </si>
  <si>
    <t>Hòa Cường</t>
  </si>
  <si>
    <t>An Hải</t>
  </si>
  <si>
    <t>Hòa Khánh</t>
  </si>
  <si>
    <t>Hòa Xuân</t>
  </si>
  <si>
    <t>phường Tân An</t>
  </si>
  <si>
    <t>phường Bình Thủy</t>
  </si>
  <si>
    <t>Phường Ba Đình</t>
  </si>
  <si>
    <t>Phường Giảng Võ</t>
  </si>
  <si>
    <t>Phường Hai Bà Trưng</t>
  </si>
  <si>
    <t>Phường Bạch Mai</t>
  </si>
  <si>
    <t>Lê Chân</t>
  </si>
  <si>
    <t>Hồng Bàng</t>
  </si>
  <si>
    <t>Hồng An</t>
  </si>
  <si>
    <t>Ngô Quyền</t>
  </si>
  <si>
    <t>Gia Viên</t>
  </si>
  <si>
    <t>Xã Hiếu Phụng</t>
  </si>
  <si>
    <t>Xã Nhà Bè</t>
  </si>
  <si>
    <t>Phường Vĩnh Hòa</t>
  </si>
  <si>
    <t>Phường Cầu Ông Lãnh</t>
  </si>
  <si>
    <t>Tỉnh An Giang</t>
  </si>
  <si>
    <t>Xã An Phú</t>
  </si>
  <si>
    <t>An Biên</t>
  </si>
  <si>
    <t>Phường Cái Răng</t>
  </si>
  <si>
    <t>Phường Tam Kỳ</t>
  </si>
  <si>
    <t>Xã Hiệp Phước</t>
  </si>
  <si>
    <t>Phường Điện Bàn</t>
  </si>
  <si>
    <t>Phường Bàn Cờ</t>
  </si>
  <si>
    <t>Phường Hương Trà</t>
  </si>
  <si>
    <t>Cửa Nam</t>
  </si>
  <si>
    <t>Phường Lái Thiêu</t>
  </si>
  <si>
    <t>Xã Nhơn Đức</t>
  </si>
  <si>
    <t>Đông Hải</t>
  </si>
  <si>
    <t>Phường Bình Tân</t>
  </si>
  <si>
    <t>Xã Minh Thạnh</t>
  </si>
  <si>
    <t>Phường Hoàn Kiếm</t>
  </si>
  <si>
    <t>Xã Yên Xuân</t>
  </si>
  <si>
    <t>Phường Đồng Hới</t>
  </si>
  <si>
    <t>Tỉnh Quảng Trị</t>
  </si>
  <si>
    <t>Phường Võ Cường</t>
  </si>
  <si>
    <t>Phường Trà Lý</t>
  </si>
  <si>
    <t>Xã Long Khánh</t>
  </si>
  <si>
    <t>Phường Thủ Dầu Một</t>
  </si>
  <si>
    <t>Xã Nam Minh</t>
  </si>
  <si>
    <t>Phường Hạc Thành</t>
  </si>
  <si>
    <t>Phường Linh Xuân</t>
  </si>
  <si>
    <t>Tỉnh Tây Ninh</t>
  </si>
  <si>
    <t>Phường Khánh Hậu</t>
  </si>
  <si>
    <t>Phường Hải Vân</t>
  </si>
  <si>
    <t>Xã Bình Phước</t>
  </si>
  <si>
    <t>Phường Ninh Kiều</t>
  </si>
  <si>
    <t>Phường Thủ Đức</t>
  </si>
  <si>
    <t>Phường Thanh Hòa</t>
  </si>
  <si>
    <t>Xã Tú Lệ</t>
  </si>
  <si>
    <t>tranntb@gmail.com</t>
  </si>
  <si>
    <t>khangtm@gmail.com</t>
  </si>
  <si>
    <t>tuyenln@gmail.com</t>
  </si>
  <si>
    <t>anhpt@gmail.com</t>
  </si>
  <si>
    <t>nhunglh@gmail.com</t>
  </si>
  <si>
    <t>minhbn@gmail.com</t>
  </si>
  <si>
    <t>duyenhm@gmail.com</t>
  </si>
  <si>
    <t>huytq@gmail.com</t>
  </si>
  <si>
    <t>linhntk@gmail.com</t>
  </si>
  <si>
    <t>hanhg@gmail.com</t>
  </si>
  <si>
    <t>minhvd@gmail.com</t>
  </si>
  <si>
    <t>mynh@gmail.com</t>
  </si>
  <si>
    <t>longtt@gmail.com</t>
  </si>
  <si>
    <t>phitt@gmail.com</t>
  </si>
  <si>
    <t>quynhpm@gmail.com</t>
  </si>
  <si>
    <t>trangltm@gmail.com</t>
  </si>
  <si>
    <t>Phường An Hải</t>
  </si>
  <si>
    <t>Tỉnh Ninh Bình</t>
  </si>
  <si>
    <t>Tỉnh Khánh Hòa</t>
  </si>
  <si>
    <t>Channel</t>
  </si>
  <si>
    <t>Tiktokshop</t>
  </si>
  <si>
    <t>Shopee</t>
  </si>
  <si>
    <t>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</si>
</sst>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₫_-;\-* #,##0\ _₫_-;_-* &quot;-&quot;\ _₫_-;_-@_-"/>
    <numFmt numFmtId="165" formatCode="#,##0\ _₫"/>
  </numFmts>
  <fonts count="11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529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212529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97">
    <xf numFmtId="0" fontId="0" fillId="0" borderId="0" xfId="0"/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0" fontId="4" fillId="0" borderId="1" xfId="0" applyFont="1" applyBorder="1"/>
    <xf numFmtId="0" fontId="4" fillId="0" borderId="1" xfId="0" applyFont="1" applyFill="1" applyBorder="1"/>
    <xf numFmtId="0" fontId="5" fillId="0" borderId="1" xfId="0" applyFont="1" applyBorder="1"/>
    <xf numFmtId="0" fontId="6" fillId="0" borderId="1" xfId="1" applyNumberFormat="1" applyFont="1" applyBorder="1"/>
    <xf numFmtId="0" fontId="5" fillId="0" borderId="1" xfId="0" quotePrefix="1" applyNumberFormat="1" applyFont="1" applyBorder="1"/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/>
    <xf numFmtId="0" fontId="6" fillId="0" borderId="1" xfId="1" applyFont="1" applyBorder="1"/>
    <xf numFmtId="0" fontId="7" fillId="0" borderId="1" xfId="0" applyFont="1" applyBorder="1"/>
    <xf numFmtId="0" fontId="1" fillId="0" borderId="1" xfId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5" fillId="0" borderId="2" xfId="0" applyFont="1" applyBorder="1"/>
    <xf numFmtId="0" fontId="8" fillId="0" borderId="0" xfId="2" applyFill="1"/>
    <xf numFmtId="0" fontId="8" fillId="0" borderId="0" xfId="2"/>
    <xf numFmtId="0" fontId="2" fillId="0" borderId="0" xfId="0" applyFont="1"/>
    <xf numFmtId="164" fontId="2" fillId="0" borderId="1" xfId="0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2" fillId="0" borderId="1" xfId="0" applyNumberFormat="1" applyFont="1" applyBorder="1"/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0" fontId="0" fillId="0" borderId="1" xfId="0" applyFill="1" applyBorder="1" applyAlignment="1">
      <alignment vertical="center" wrapText="1"/>
    </xf>
    <xf numFmtId="165" fontId="0" fillId="0" borderId="1" xfId="0" applyNumberFormat="1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/>
    <xf numFmtId="0" fontId="8" fillId="0" borderId="0" xfId="0" applyFont="1"/>
    <xf numFmtId="164" fontId="8" fillId="0" borderId="0" xfId="0" applyNumberFormat="1" applyFont="1"/>
    <xf numFmtId="0" fontId="8" fillId="0" borderId="0" xfId="2" applyFont="1"/>
    <xf numFmtId="0" fontId="8" fillId="0" borderId="0" xfId="2" applyFont="1" applyFill="1"/>
    <xf numFmtId="0" fontId="5" fillId="0" borderId="0" xfId="0" applyFont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2" fillId="0" borderId="1" xfId="0" applyFont="1" applyFill="1" applyBorder="1"/>
    <xf numFmtId="14" fontId="0" fillId="0" borderId="0" xfId="0" applyNumberFormat="1"/>
    <xf numFmtId="0" fontId="0" fillId="0" borderId="0" xfId="0" applyNumberFormat="1" applyAlignment="1"/>
    <xf numFmtId="0" fontId="2" fillId="0" borderId="0" xfId="0" applyFont="1" applyBorder="1" applyAlignment="1"/>
    <xf numFmtId="0" fontId="8" fillId="0" borderId="0" xfId="0" applyFont="1" applyBorder="1" applyAlignment="1"/>
    <xf numFmtId="0" fontId="8" fillId="0" borderId="0" xfId="0" quotePrefix="1" applyNumberFormat="1" applyFont="1" applyBorder="1" applyAlignment="1"/>
    <xf numFmtId="164" fontId="8" fillId="0" borderId="0" xfId="0" applyNumberFormat="1" applyFont="1" applyBorder="1" applyAlignment="1"/>
    <xf numFmtId="0" fontId="8" fillId="0" borderId="0" xfId="0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0" fontId="5" fillId="0" borderId="0" xfId="0" quotePrefix="1" applyFont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Border="1" applyAlignment="1">
      <alignment vertical="center" wrapText="1"/>
    </xf>
    <xf numFmtId="14" fontId="0" fillId="2" borderId="0" xfId="0" applyNumberFormat="1" applyFill="1"/>
    <xf numFmtId="164" fontId="0" fillId="2" borderId="0" xfId="0" applyNumberFormat="1" applyFill="1"/>
    <xf numFmtId="0" fontId="0" fillId="3" borderId="0" xfId="0" applyFill="1" applyAlignment="1">
      <alignment vertical="center" wrapText="1"/>
    </xf>
    <xf numFmtId="0" fontId="0" fillId="3" borderId="0" xfId="0" applyFill="1" applyBorder="1" applyAlignment="1">
      <alignment vertical="center" wrapText="1"/>
    </xf>
    <xf numFmtId="14" fontId="0" fillId="3" borderId="0" xfId="0" applyNumberFormat="1" applyFill="1"/>
    <xf numFmtId="164" fontId="0" fillId="3" borderId="0" xfId="0" applyNumberFormat="1" applyFill="1"/>
    <xf numFmtId="0" fontId="0" fillId="4" borderId="0" xfId="0" applyFill="1" applyAlignment="1">
      <alignment vertical="center" wrapText="1"/>
    </xf>
    <xf numFmtId="14" fontId="0" fillId="4" borderId="0" xfId="0" applyNumberFormat="1" applyFill="1"/>
    <xf numFmtId="164" fontId="0" fillId="4" borderId="0" xfId="0" applyNumberFormat="1" applyFill="1"/>
    <xf numFmtId="0" fontId="0" fillId="4" borderId="0" xfId="0" applyFill="1"/>
    <xf numFmtId="0" fontId="8" fillId="4" borderId="0" xfId="0" applyFont="1" applyFill="1"/>
    <xf numFmtId="0" fontId="8" fillId="4" borderId="0" xfId="2" applyFont="1" applyFill="1"/>
    <xf numFmtId="164" fontId="8" fillId="4" borderId="0" xfId="0" applyNumberFormat="1" applyFont="1" applyFill="1"/>
    <xf numFmtId="0" fontId="8" fillId="5" borderId="0" xfId="0" applyFont="1" applyFill="1"/>
    <xf numFmtId="0" fontId="8" fillId="5" borderId="0" xfId="2" applyFont="1" applyFill="1"/>
    <xf numFmtId="164" fontId="8" fillId="5" borderId="0" xfId="0" applyNumberFormat="1" applyFont="1" applyFill="1"/>
    <xf numFmtId="0" fontId="8" fillId="6" borderId="0" xfId="0" applyFont="1" applyFill="1"/>
    <xf numFmtId="0" fontId="8" fillId="6" borderId="0" xfId="2" applyFont="1" applyFill="1"/>
    <xf numFmtId="164" fontId="8" fillId="6" borderId="0" xfId="0" applyNumberFormat="1" applyFont="1" applyFill="1"/>
    <xf numFmtId="0" fontId="0" fillId="5" borderId="0" xfId="0" applyFill="1"/>
    <xf numFmtId="0" fontId="8" fillId="0" borderId="0" xfId="0" applyFont="1" applyFill="1" applyBorder="1" applyAlignment="1">
      <alignment vertical="center"/>
    </xf>
    <xf numFmtId="0" fontId="2" fillId="0" borderId="3" xfId="0" applyFont="1" applyBorder="1"/>
    <xf numFmtId="164" fontId="2" fillId="0" borderId="3" xfId="0" applyNumberFormat="1" applyFont="1" applyBorder="1"/>
    <xf numFmtId="14" fontId="5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/>
    <xf numFmtId="0" fontId="2" fillId="0" borderId="2" xfId="0" applyFont="1" applyBorder="1" applyAlignment="1"/>
    <xf numFmtId="164" fontId="2" fillId="0" borderId="5" xfId="0" applyNumberFormat="1" applyFont="1" applyBorder="1" applyAlignment="1"/>
    <xf numFmtId="0" fontId="2" fillId="0" borderId="5" xfId="0" applyFont="1" applyBorder="1" applyAlignment="1"/>
    <xf numFmtId="0" fontId="4" fillId="0" borderId="4" xfId="0" applyFont="1" applyFill="1" applyBorder="1"/>
    <xf numFmtId="0" fontId="9" fillId="0" borderId="5" xfId="0" applyFont="1" applyBorder="1"/>
    <xf numFmtId="0" fontId="9" fillId="0" borderId="0" xfId="0" applyFont="1" applyBorder="1" applyAlignment="1"/>
    <xf numFmtId="0" fontId="9" fillId="0" borderId="0" xfId="0" applyFont="1"/>
    <xf numFmtId="0" fontId="5" fillId="0" borderId="2" xfId="0" quotePrefix="1" applyFont="1" applyBorder="1"/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5" fillId="0" borderId="2" xfId="0" quotePrefix="1" applyFont="1" applyFill="1" applyBorder="1"/>
    <xf numFmtId="0" fontId="5" fillId="0" borderId="7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14" fontId="8" fillId="0" borderId="0" xfId="0" applyNumberFormat="1" applyFont="1"/>
  </cellXfs>
  <cellStyles count="3">
    <cellStyle name="Hyperlink" xfId="1" builtinId="8"/>
    <cellStyle name="Normal" xfId="0" builtinId="0"/>
    <cellStyle name="Normal 2" xfId="2" xr:uid="{FF7A0ECC-1C75-4928-9E66-B082217BF2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hannlb@gmail.com" TargetMode="External"/><Relationship Id="rId18" Type="http://schemas.openxmlformats.org/officeDocument/2006/relationships/hyperlink" Target="mailto:tranntb@gmail.com" TargetMode="External"/><Relationship Id="rId26" Type="http://schemas.openxmlformats.org/officeDocument/2006/relationships/hyperlink" Target="mailto:phild@gmail.com" TargetMode="External"/><Relationship Id="rId39" Type="http://schemas.openxmlformats.org/officeDocument/2006/relationships/hyperlink" Target="mailto:duyenhm@gmail.com" TargetMode="External"/><Relationship Id="rId21" Type="http://schemas.openxmlformats.org/officeDocument/2006/relationships/hyperlink" Target="mailto:trangltm@gmail.com" TargetMode="External"/><Relationship Id="rId34" Type="http://schemas.openxmlformats.org/officeDocument/2006/relationships/hyperlink" Target="mailto:khangtm@gmail.com" TargetMode="External"/><Relationship Id="rId42" Type="http://schemas.openxmlformats.org/officeDocument/2006/relationships/hyperlink" Target="mailto:info@anhduongtextile.com" TargetMode="External"/><Relationship Id="rId7" Type="http://schemas.openxmlformats.org/officeDocument/2006/relationships/hyperlink" Target="mailto:phuongbb@gmail.com" TargetMode="External"/><Relationship Id="rId2" Type="http://schemas.openxmlformats.org/officeDocument/2006/relationships/hyperlink" Target="mailto:manhtd@gmail.com" TargetMode="External"/><Relationship Id="rId16" Type="http://schemas.openxmlformats.org/officeDocument/2006/relationships/hyperlink" Target="mailto:duyha@gmail.com" TargetMode="External"/><Relationship Id="rId20" Type="http://schemas.openxmlformats.org/officeDocument/2006/relationships/hyperlink" Target="mailto:mynh@gmail.com" TargetMode="External"/><Relationship Id="rId29" Type="http://schemas.openxmlformats.org/officeDocument/2006/relationships/hyperlink" Target="mailto:mybn@gmail.com" TargetMode="External"/><Relationship Id="rId41" Type="http://schemas.openxmlformats.org/officeDocument/2006/relationships/hyperlink" Target="mailto:linhntk@gmail.com" TargetMode="External"/><Relationship Id="rId1" Type="http://schemas.openxmlformats.org/officeDocument/2006/relationships/hyperlink" Target="mailto:vant@gmail.com" TargetMode="External"/><Relationship Id="rId6" Type="http://schemas.openxmlformats.org/officeDocument/2006/relationships/hyperlink" Target="mailto:anhpq@gmail.com" TargetMode="External"/><Relationship Id="rId11" Type="http://schemas.openxmlformats.org/officeDocument/2006/relationships/hyperlink" Target="mailto:maitn@gmail.com" TargetMode="External"/><Relationship Id="rId24" Type="http://schemas.openxmlformats.org/officeDocument/2006/relationships/hyperlink" Target="mailto:phitt@gmail.com" TargetMode="External"/><Relationship Id="rId32" Type="http://schemas.openxmlformats.org/officeDocument/2006/relationships/hyperlink" Target="mailto:uyentn@gmail.com" TargetMode="External"/><Relationship Id="rId37" Type="http://schemas.openxmlformats.org/officeDocument/2006/relationships/hyperlink" Target="mailto:nhunglh@gmail.com" TargetMode="External"/><Relationship Id="rId40" Type="http://schemas.openxmlformats.org/officeDocument/2006/relationships/hyperlink" Target="mailto:huytq@gmail.com" TargetMode="External"/><Relationship Id="rId5" Type="http://schemas.openxmlformats.org/officeDocument/2006/relationships/hyperlink" Target="mailto:kynnm@gmail.com" TargetMode="External"/><Relationship Id="rId15" Type="http://schemas.openxmlformats.org/officeDocument/2006/relationships/hyperlink" Target="mailto:thangtv@gmail.com" TargetMode="External"/><Relationship Id="rId23" Type="http://schemas.openxmlformats.org/officeDocument/2006/relationships/hyperlink" Target="mailto:longtt@gmail.com" TargetMode="External"/><Relationship Id="rId28" Type="http://schemas.openxmlformats.org/officeDocument/2006/relationships/hyperlink" Target="mailto:lynh@gmail.com" TargetMode="External"/><Relationship Id="rId36" Type="http://schemas.openxmlformats.org/officeDocument/2006/relationships/hyperlink" Target="mailto:anhpt@gmail.com" TargetMode="External"/><Relationship Id="rId10" Type="http://schemas.openxmlformats.org/officeDocument/2006/relationships/hyperlink" Target="mailto:daoltt@gmail.com" TargetMode="External"/><Relationship Id="rId19" Type="http://schemas.openxmlformats.org/officeDocument/2006/relationships/hyperlink" Target="mailto:hanhg@gmail.com" TargetMode="External"/><Relationship Id="rId31" Type="http://schemas.openxmlformats.org/officeDocument/2006/relationships/hyperlink" Target="mailto:hanlkg@gmail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quangpm@gmail.com" TargetMode="External"/><Relationship Id="rId9" Type="http://schemas.openxmlformats.org/officeDocument/2006/relationships/hyperlink" Target="mailto:taitt@gmail.com" TargetMode="External"/><Relationship Id="rId14" Type="http://schemas.openxmlformats.org/officeDocument/2006/relationships/hyperlink" Target="mailto:hangltm@gmail.com" TargetMode="External"/><Relationship Id="rId22" Type="http://schemas.openxmlformats.org/officeDocument/2006/relationships/hyperlink" Target="mailto:minhvd@gmail.com" TargetMode="External"/><Relationship Id="rId27" Type="http://schemas.openxmlformats.org/officeDocument/2006/relationships/hyperlink" Target="mailto:oanhpth@gmail.com" TargetMode="External"/><Relationship Id="rId30" Type="http://schemas.openxmlformats.org/officeDocument/2006/relationships/hyperlink" Target="mailto:myhh@gmail.com" TargetMode="External"/><Relationship Id="rId35" Type="http://schemas.openxmlformats.org/officeDocument/2006/relationships/hyperlink" Target="mailto:tuyenln@gmail.com" TargetMode="External"/><Relationship Id="rId43" Type="http://schemas.openxmlformats.org/officeDocument/2006/relationships/hyperlink" Target="mailto:vietphong@gmail.com" TargetMode="External"/><Relationship Id="rId8" Type="http://schemas.openxmlformats.org/officeDocument/2006/relationships/hyperlink" Target="mailto:khoita@gmail.com" TargetMode="External"/><Relationship Id="rId3" Type="http://schemas.openxmlformats.org/officeDocument/2006/relationships/hyperlink" Target="mailto:nghianm@gmail.com" TargetMode="External"/><Relationship Id="rId12" Type="http://schemas.openxmlformats.org/officeDocument/2006/relationships/hyperlink" Target="mailto:maipt@gmail.com" TargetMode="External"/><Relationship Id="rId17" Type="http://schemas.openxmlformats.org/officeDocument/2006/relationships/hyperlink" Target="mailto:datnt@gmail.com" TargetMode="External"/><Relationship Id="rId25" Type="http://schemas.openxmlformats.org/officeDocument/2006/relationships/hyperlink" Target="mailto:quynhpm@gmail.com" TargetMode="External"/><Relationship Id="rId33" Type="http://schemas.openxmlformats.org/officeDocument/2006/relationships/hyperlink" Target="mailto:hanln@gmail.com" TargetMode="External"/><Relationship Id="rId38" Type="http://schemas.openxmlformats.org/officeDocument/2006/relationships/hyperlink" Target="mailto:minhbn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A69A-1831-4BB3-83F4-F8E017856301}">
  <dimension ref="A1:C73"/>
  <sheetViews>
    <sheetView topLeftCell="A57" workbookViewId="0">
      <selection activeCell="B73" sqref="B73"/>
    </sheetView>
  </sheetViews>
  <sheetFormatPr defaultRowHeight="14.5" x14ac:dyDescent="0.35"/>
  <cols>
    <col min="1" max="1" width="10.90625" customWidth="1"/>
    <col min="2" max="2" width="13.453125" customWidth="1"/>
    <col min="3" max="3" width="12.36328125" customWidth="1"/>
  </cols>
  <sheetData>
    <row r="1" spans="1:3" x14ac:dyDescent="0.35">
      <c r="A1" t="s">
        <v>234</v>
      </c>
      <c r="B1" s="14" t="s">
        <v>293</v>
      </c>
      <c r="C1" s="14" t="s">
        <v>294</v>
      </c>
    </row>
    <row r="2" spans="1:3" ht="15.5" x14ac:dyDescent="0.35">
      <c r="A2" s="18" t="s">
        <v>295</v>
      </c>
      <c r="B2" s="14">
        <v>1</v>
      </c>
      <c r="C2" s="14">
        <v>0</v>
      </c>
    </row>
    <row r="3" spans="1:3" ht="15.5" x14ac:dyDescent="0.35">
      <c r="A3" s="18" t="s">
        <v>296</v>
      </c>
      <c r="B3" s="14">
        <v>1</v>
      </c>
      <c r="C3" s="14">
        <v>0</v>
      </c>
    </row>
    <row r="4" spans="1:3" ht="15.5" x14ac:dyDescent="0.35">
      <c r="A4" s="18" t="s">
        <v>297</v>
      </c>
      <c r="B4" s="14">
        <v>1</v>
      </c>
      <c r="C4" s="14">
        <v>0</v>
      </c>
    </row>
    <row r="5" spans="1:3" ht="15.5" x14ac:dyDescent="0.35">
      <c r="A5" s="18" t="s">
        <v>298</v>
      </c>
      <c r="B5" s="14">
        <v>1</v>
      </c>
      <c r="C5" s="14">
        <v>0</v>
      </c>
    </row>
    <row r="6" spans="1:3" ht="15.5" x14ac:dyDescent="0.35">
      <c r="A6" s="18" t="s">
        <v>299</v>
      </c>
      <c r="B6" s="14">
        <v>1</v>
      </c>
      <c r="C6" s="14">
        <v>0</v>
      </c>
    </row>
    <row r="7" spans="1:3" ht="15.5" x14ac:dyDescent="0.35">
      <c r="A7" s="18" t="s">
        <v>300</v>
      </c>
      <c r="B7" s="14">
        <v>1</v>
      </c>
      <c r="C7" s="14">
        <v>0</v>
      </c>
    </row>
    <row r="8" spans="1:3" ht="15.5" x14ac:dyDescent="0.35">
      <c r="A8" s="18" t="s">
        <v>301</v>
      </c>
      <c r="B8" s="14">
        <v>1</v>
      </c>
      <c r="C8" s="14">
        <v>0</v>
      </c>
    </row>
    <row r="9" spans="1:3" ht="15.5" x14ac:dyDescent="0.35">
      <c r="A9" s="18" t="s">
        <v>302</v>
      </c>
      <c r="B9" s="14">
        <v>1</v>
      </c>
      <c r="C9" s="14">
        <v>0</v>
      </c>
    </row>
    <row r="10" spans="1:3" ht="15.5" x14ac:dyDescent="0.35">
      <c r="A10" s="18" t="s">
        <v>303</v>
      </c>
      <c r="B10" s="14">
        <v>1</v>
      </c>
      <c r="C10" s="14">
        <v>0</v>
      </c>
    </row>
    <row r="11" spans="1:3" ht="15.5" x14ac:dyDescent="0.35">
      <c r="A11" s="18" t="s">
        <v>304</v>
      </c>
      <c r="B11" s="14">
        <v>1</v>
      </c>
      <c r="C11" s="14">
        <v>0</v>
      </c>
    </row>
    <row r="12" spans="1:3" ht="15.5" x14ac:dyDescent="0.35">
      <c r="A12" s="18" t="s">
        <v>305</v>
      </c>
      <c r="B12" s="14">
        <v>1</v>
      </c>
      <c r="C12" s="14">
        <v>0</v>
      </c>
    </row>
    <row r="13" spans="1:3" ht="15.5" x14ac:dyDescent="0.35">
      <c r="A13" s="18" t="s">
        <v>306</v>
      </c>
      <c r="B13" s="14">
        <v>1</v>
      </c>
      <c r="C13" s="14">
        <v>0</v>
      </c>
    </row>
    <row r="14" spans="1:3" ht="15.5" x14ac:dyDescent="0.35">
      <c r="A14" s="18" t="s">
        <v>307</v>
      </c>
      <c r="B14" s="14">
        <v>1</v>
      </c>
      <c r="C14" s="14">
        <v>0</v>
      </c>
    </row>
    <row r="15" spans="1:3" ht="15.5" x14ac:dyDescent="0.35">
      <c r="A15" s="18" t="s">
        <v>308</v>
      </c>
      <c r="B15" s="14">
        <v>1</v>
      </c>
      <c r="C15" s="14">
        <v>0</v>
      </c>
    </row>
    <row r="16" spans="1:3" ht="15.5" x14ac:dyDescent="0.35">
      <c r="A16" s="18" t="s">
        <v>309</v>
      </c>
      <c r="B16" s="14">
        <v>1</v>
      </c>
      <c r="C16" s="14">
        <v>0</v>
      </c>
    </row>
    <row r="17" spans="1:3" ht="15.5" x14ac:dyDescent="0.35">
      <c r="A17" s="18" t="s">
        <v>310</v>
      </c>
      <c r="B17" s="14">
        <v>1</v>
      </c>
      <c r="C17" s="14">
        <v>0</v>
      </c>
    </row>
    <row r="18" spans="1:3" ht="15.5" x14ac:dyDescent="0.35">
      <c r="A18" s="18" t="s">
        <v>311</v>
      </c>
      <c r="B18" s="14">
        <v>1</v>
      </c>
      <c r="C18" s="14">
        <v>0</v>
      </c>
    </row>
    <row r="19" spans="1:3" ht="15.5" x14ac:dyDescent="0.35">
      <c r="A19" s="18" t="s">
        <v>312</v>
      </c>
      <c r="B19" s="14">
        <v>1</v>
      </c>
      <c r="C19" s="14">
        <v>0</v>
      </c>
    </row>
    <row r="20" spans="1:3" ht="15.5" x14ac:dyDescent="0.35">
      <c r="A20" s="18" t="s">
        <v>313</v>
      </c>
      <c r="B20" s="14">
        <v>1</v>
      </c>
      <c r="C20" s="14">
        <v>0</v>
      </c>
    </row>
    <row r="21" spans="1:3" ht="15.5" x14ac:dyDescent="0.35">
      <c r="A21" s="18" t="s">
        <v>314</v>
      </c>
      <c r="B21" s="14">
        <v>1</v>
      </c>
      <c r="C21" s="14">
        <v>0</v>
      </c>
    </row>
    <row r="22" spans="1:3" ht="15.5" x14ac:dyDescent="0.35">
      <c r="A22" s="18" t="s">
        <v>315</v>
      </c>
      <c r="B22" s="14">
        <v>1</v>
      </c>
      <c r="C22" s="14">
        <v>0</v>
      </c>
    </row>
    <row r="23" spans="1:3" ht="15.5" x14ac:dyDescent="0.35">
      <c r="A23" s="18" t="s">
        <v>316</v>
      </c>
      <c r="B23" s="14">
        <v>1</v>
      </c>
      <c r="C23" s="14">
        <v>0</v>
      </c>
    </row>
    <row r="24" spans="1:3" ht="15.5" x14ac:dyDescent="0.35">
      <c r="A24" s="18" t="s">
        <v>317</v>
      </c>
      <c r="B24" s="14">
        <v>1</v>
      </c>
      <c r="C24" s="14">
        <v>0</v>
      </c>
    </row>
    <row r="25" spans="1:3" ht="15.5" x14ac:dyDescent="0.35">
      <c r="A25" s="18" t="s">
        <v>318</v>
      </c>
      <c r="B25" s="14">
        <v>1</v>
      </c>
      <c r="C25" s="14">
        <v>0</v>
      </c>
    </row>
    <row r="26" spans="1:3" ht="15.5" x14ac:dyDescent="0.35">
      <c r="A26" s="18" t="s">
        <v>319</v>
      </c>
      <c r="B26" s="14">
        <v>1</v>
      </c>
      <c r="C26" s="14">
        <v>0</v>
      </c>
    </row>
    <row r="27" spans="1:3" ht="15.5" x14ac:dyDescent="0.35">
      <c r="A27" s="18" t="s">
        <v>320</v>
      </c>
      <c r="B27" s="14">
        <v>1</v>
      </c>
      <c r="C27" s="14">
        <v>0</v>
      </c>
    </row>
    <row r="28" spans="1:3" ht="15.5" x14ac:dyDescent="0.35">
      <c r="A28" s="18" t="s">
        <v>321</v>
      </c>
      <c r="B28" s="14">
        <v>1</v>
      </c>
      <c r="C28" s="14">
        <v>0</v>
      </c>
    </row>
    <row r="29" spans="1:3" ht="15.5" x14ac:dyDescent="0.35">
      <c r="A29" s="18" t="s">
        <v>322</v>
      </c>
      <c r="B29" s="14">
        <v>1</v>
      </c>
      <c r="C29" s="14">
        <v>0</v>
      </c>
    </row>
    <row r="30" spans="1:3" ht="15.5" x14ac:dyDescent="0.35">
      <c r="A30" s="18" t="s">
        <v>323</v>
      </c>
      <c r="B30" s="14">
        <v>1</v>
      </c>
      <c r="C30" s="14">
        <v>0</v>
      </c>
    </row>
    <row r="31" spans="1:3" ht="15.5" x14ac:dyDescent="0.35">
      <c r="A31" s="18" t="s">
        <v>324</v>
      </c>
      <c r="B31" s="14">
        <v>1</v>
      </c>
      <c r="C31" s="14">
        <v>0</v>
      </c>
    </row>
    <row r="32" spans="1:3" ht="15.5" x14ac:dyDescent="0.35">
      <c r="A32" s="18" t="s">
        <v>325</v>
      </c>
      <c r="B32" s="14">
        <v>1</v>
      </c>
      <c r="C32" s="14">
        <v>0</v>
      </c>
    </row>
    <row r="33" spans="1:3" ht="15.5" x14ac:dyDescent="0.35">
      <c r="A33" s="18" t="s">
        <v>326</v>
      </c>
      <c r="B33" s="14">
        <v>1</v>
      </c>
      <c r="C33" s="14">
        <v>0</v>
      </c>
    </row>
    <row r="34" spans="1:3" ht="15.5" x14ac:dyDescent="0.35">
      <c r="A34" s="18" t="s">
        <v>327</v>
      </c>
      <c r="B34" s="14">
        <v>1</v>
      </c>
      <c r="C34" s="14">
        <v>0</v>
      </c>
    </row>
    <row r="35" spans="1:3" ht="15.5" x14ac:dyDescent="0.35">
      <c r="A35" s="18" t="s">
        <v>328</v>
      </c>
      <c r="B35" s="14">
        <v>1</v>
      </c>
      <c r="C35" s="14">
        <v>0</v>
      </c>
    </row>
    <row r="36" spans="1:3" ht="15.5" x14ac:dyDescent="0.35">
      <c r="A36" s="18" t="s">
        <v>329</v>
      </c>
      <c r="B36" s="14">
        <v>1</v>
      </c>
      <c r="C36" s="14">
        <v>0</v>
      </c>
    </row>
    <row r="37" spans="1:3" ht="15.5" x14ac:dyDescent="0.35">
      <c r="A37" s="18" t="s">
        <v>330</v>
      </c>
      <c r="B37" s="14">
        <v>1</v>
      </c>
      <c r="C37" s="14">
        <v>0</v>
      </c>
    </row>
    <row r="38" spans="1:3" ht="15.5" x14ac:dyDescent="0.35">
      <c r="A38" s="18" t="s">
        <v>331</v>
      </c>
      <c r="B38" s="14">
        <v>1</v>
      </c>
      <c r="C38" s="14">
        <v>0</v>
      </c>
    </row>
    <row r="39" spans="1:3" ht="15.5" x14ac:dyDescent="0.35">
      <c r="A39" s="18" t="s">
        <v>332</v>
      </c>
      <c r="B39" s="14">
        <v>1</v>
      </c>
      <c r="C39" s="14">
        <v>0</v>
      </c>
    </row>
    <row r="40" spans="1:3" ht="15.5" x14ac:dyDescent="0.35">
      <c r="A40" s="18" t="s">
        <v>333</v>
      </c>
      <c r="B40" s="14">
        <v>1</v>
      </c>
      <c r="C40" s="14">
        <v>0</v>
      </c>
    </row>
    <row r="41" spans="1:3" ht="15.5" x14ac:dyDescent="0.35">
      <c r="A41" s="18" t="s">
        <v>334</v>
      </c>
      <c r="B41" s="14">
        <v>1</v>
      </c>
      <c r="C41" s="14">
        <v>0</v>
      </c>
    </row>
    <row r="42" spans="1:3" ht="15.5" x14ac:dyDescent="0.35">
      <c r="A42" s="18" t="s">
        <v>335</v>
      </c>
      <c r="B42" s="14">
        <v>1</v>
      </c>
      <c r="C42" s="14">
        <v>0</v>
      </c>
    </row>
    <row r="43" spans="1:3" ht="15.5" x14ac:dyDescent="0.35">
      <c r="A43" s="18" t="s">
        <v>336</v>
      </c>
      <c r="B43" s="14">
        <v>1</v>
      </c>
      <c r="C43" s="14">
        <v>0</v>
      </c>
    </row>
    <row r="44" spans="1:3" ht="15.5" x14ac:dyDescent="0.35">
      <c r="A44" s="18" t="s">
        <v>337</v>
      </c>
      <c r="B44" s="14">
        <v>1</v>
      </c>
      <c r="C44" s="14">
        <v>0</v>
      </c>
    </row>
    <row r="45" spans="1:3" ht="15.5" x14ac:dyDescent="0.35">
      <c r="A45" s="18" t="s">
        <v>338</v>
      </c>
      <c r="B45" s="14">
        <v>1</v>
      </c>
      <c r="C45" s="14">
        <v>0</v>
      </c>
    </row>
    <row r="46" spans="1:3" ht="15.5" x14ac:dyDescent="0.35">
      <c r="A46" s="18" t="s">
        <v>339</v>
      </c>
      <c r="B46" s="14">
        <v>1</v>
      </c>
      <c r="C46" s="14">
        <v>0</v>
      </c>
    </row>
    <row r="47" spans="1:3" ht="15.5" x14ac:dyDescent="0.35">
      <c r="A47" s="18" t="s">
        <v>340</v>
      </c>
      <c r="B47" s="14">
        <v>1</v>
      </c>
      <c r="C47" s="14">
        <v>0</v>
      </c>
    </row>
    <row r="48" spans="1:3" ht="15.5" x14ac:dyDescent="0.35">
      <c r="A48" s="18" t="s">
        <v>341</v>
      </c>
      <c r="B48" s="14">
        <v>1</v>
      </c>
      <c r="C48" s="14">
        <v>0</v>
      </c>
    </row>
    <row r="49" spans="1:3" ht="15.5" x14ac:dyDescent="0.35">
      <c r="A49" s="18" t="s">
        <v>342</v>
      </c>
      <c r="B49" s="14">
        <v>1</v>
      </c>
      <c r="C49" s="14">
        <v>0</v>
      </c>
    </row>
    <row r="50" spans="1:3" ht="15.5" x14ac:dyDescent="0.35">
      <c r="A50" s="18" t="s">
        <v>343</v>
      </c>
      <c r="B50" s="14">
        <v>1</v>
      </c>
      <c r="C50" s="14">
        <v>0</v>
      </c>
    </row>
    <row r="51" spans="1:3" ht="15.5" x14ac:dyDescent="0.35">
      <c r="A51" s="18" t="s">
        <v>344</v>
      </c>
      <c r="B51" s="14">
        <v>1</v>
      </c>
      <c r="C51" s="14">
        <v>0</v>
      </c>
    </row>
    <row r="52" spans="1:3" ht="15.5" x14ac:dyDescent="0.35">
      <c r="A52" s="18" t="s">
        <v>345</v>
      </c>
      <c r="B52" s="14">
        <v>1</v>
      </c>
      <c r="C52" s="14">
        <v>0</v>
      </c>
    </row>
    <row r="53" spans="1:3" ht="15.5" x14ac:dyDescent="0.35">
      <c r="A53" s="18" t="s">
        <v>346</v>
      </c>
      <c r="B53" s="14">
        <v>1</v>
      </c>
      <c r="C53" s="14">
        <v>0</v>
      </c>
    </row>
    <row r="54" spans="1:3" ht="15.5" x14ac:dyDescent="0.35">
      <c r="A54" s="18" t="s">
        <v>347</v>
      </c>
      <c r="B54" s="14">
        <v>1</v>
      </c>
      <c r="C54" s="14">
        <v>0</v>
      </c>
    </row>
    <row r="55" spans="1:3" ht="15.5" x14ac:dyDescent="0.35">
      <c r="A55" s="18" t="s">
        <v>348</v>
      </c>
      <c r="B55" s="14">
        <v>1</v>
      </c>
      <c r="C55" s="14">
        <v>0</v>
      </c>
    </row>
    <row r="56" spans="1:3" ht="15.5" x14ac:dyDescent="0.35">
      <c r="A56" s="18" t="s">
        <v>349</v>
      </c>
      <c r="B56" s="14">
        <v>1</v>
      </c>
      <c r="C56" s="14">
        <v>0</v>
      </c>
    </row>
    <row r="57" spans="1:3" ht="15.5" x14ac:dyDescent="0.35">
      <c r="A57" s="18" t="s">
        <v>350</v>
      </c>
      <c r="B57" s="14">
        <v>1</v>
      </c>
      <c r="C57" s="14">
        <v>0</v>
      </c>
    </row>
    <row r="58" spans="1:3" ht="15.5" x14ac:dyDescent="0.35">
      <c r="A58" s="18" t="s">
        <v>351</v>
      </c>
      <c r="B58" s="14">
        <v>1</v>
      </c>
      <c r="C58" s="14">
        <v>0</v>
      </c>
    </row>
    <row r="59" spans="1:3" ht="15.5" x14ac:dyDescent="0.35">
      <c r="A59" s="18" t="s">
        <v>352</v>
      </c>
      <c r="B59" s="14">
        <v>1</v>
      </c>
      <c r="C59" s="14">
        <v>0</v>
      </c>
    </row>
    <row r="60" spans="1:3" ht="15.5" x14ac:dyDescent="0.35">
      <c r="A60" s="18" t="s">
        <v>353</v>
      </c>
      <c r="B60" s="14">
        <v>1</v>
      </c>
      <c r="C60" s="14">
        <v>0</v>
      </c>
    </row>
    <row r="61" spans="1:3" ht="15.5" x14ac:dyDescent="0.35">
      <c r="A61" s="18" t="s">
        <v>354</v>
      </c>
      <c r="B61" s="14">
        <v>1</v>
      </c>
      <c r="C61" s="14">
        <v>0</v>
      </c>
    </row>
    <row r="62" spans="1:3" ht="15.5" x14ac:dyDescent="0.35">
      <c r="A62" s="18" t="s">
        <v>355</v>
      </c>
      <c r="B62" s="14">
        <v>0</v>
      </c>
      <c r="C62" s="14">
        <v>1</v>
      </c>
    </row>
    <row r="63" spans="1:3" ht="15.5" x14ac:dyDescent="0.35">
      <c r="A63" s="18" t="s">
        <v>356</v>
      </c>
      <c r="B63" s="14">
        <v>0</v>
      </c>
      <c r="C63" s="14">
        <v>1</v>
      </c>
    </row>
    <row r="64" spans="1:3" ht="15.5" x14ac:dyDescent="0.35">
      <c r="A64" s="18" t="s">
        <v>357</v>
      </c>
      <c r="B64" s="14">
        <v>0</v>
      </c>
      <c r="C64" s="14">
        <v>1</v>
      </c>
    </row>
    <row r="65" spans="1:3" ht="15.5" x14ac:dyDescent="0.35">
      <c r="A65" s="18" t="s">
        <v>358</v>
      </c>
      <c r="B65" s="14">
        <v>0</v>
      </c>
      <c r="C65" s="14">
        <v>1</v>
      </c>
    </row>
    <row r="66" spans="1:3" ht="15.5" x14ac:dyDescent="0.35">
      <c r="A66" s="18" t="s">
        <v>359</v>
      </c>
      <c r="B66" s="14">
        <v>1</v>
      </c>
      <c r="C66" s="14">
        <v>1</v>
      </c>
    </row>
    <row r="67" spans="1:3" ht="15.5" x14ac:dyDescent="0.35">
      <c r="A67" s="18" t="s">
        <v>360</v>
      </c>
      <c r="B67" s="14">
        <v>0</v>
      </c>
      <c r="C67" s="14">
        <v>1</v>
      </c>
    </row>
    <row r="68" spans="1:3" ht="15.5" x14ac:dyDescent="0.35">
      <c r="A68" s="18" t="s">
        <v>361</v>
      </c>
      <c r="B68" s="14">
        <v>0</v>
      </c>
      <c r="C68" s="14">
        <v>1</v>
      </c>
    </row>
    <row r="69" spans="1:3" ht="15.5" x14ac:dyDescent="0.35">
      <c r="A69" s="18" t="s">
        <v>362</v>
      </c>
      <c r="B69" s="14">
        <v>1</v>
      </c>
      <c r="C69" s="14">
        <v>1</v>
      </c>
    </row>
    <row r="70" spans="1:3" ht="15.5" x14ac:dyDescent="0.35">
      <c r="A70" s="18" t="s">
        <v>363</v>
      </c>
      <c r="B70" s="14">
        <v>0</v>
      </c>
      <c r="C70" s="14">
        <v>1</v>
      </c>
    </row>
    <row r="71" spans="1:3" ht="15.5" x14ac:dyDescent="0.35">
      <c r="A71" s="18" t="s">
        <v>364</v>
      </c>
      <c r="B71" s="14">
        <v>0</v>
      </c>
      <c r="C71" s="14">
        <v>1</v>
      </c>
    </row>
    <row r="72" spans="1:3" ht="15.5" x14ac:dyDescent="0.35">
      <c r="A72" s="18" t="s">
        <v>365</v>
      </c>
      <c r="B72" s="14">
        <v>0</v>
      </c>
      <c r="C72" s="14">
        <v>1</v>
      </c>
    </row>
    <row r="73" spans="1:3" ht="15.5" x14ac:dyDescent="0.35">
      <c r="A73" s="18" t="s">
        <v>366</v>
      </c>
      <c r="B73" s="14">
        <v>1</v>
      </c>
      <c r="C73" s="14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95C8-F4DC-4F01-8E7D-C8A4ECF8DA34}">
  <dimension ref="A1:M73"/>
  <sheetViews>
    <sheetView topLeftCell="A49" zoomScale="85" zoomScaleNormal="85" workbookViewId="0">
      <selection activeCell="G34" sqref="G34"/>
    </sheetView>
  </sheetViews>
  <sheetFormatPr defaultRowHeight="14.5" x14ac:dyDescent="0.35"/>
  <cols>
    <col min="1" max="1" width="10.54296875" customWidth="1"/>
    <col min="2" max="2" width="22.453125" bestFit="1" customWidth="1"/>
    <col min="3" max="3" width="10.7265625" customWidth="1"/>
    <col min="4" max="4" width="22.453125" customWidth="1"/>
    <col min="5" max="5" width="16.08984375" customWidth="1"/>
    <col min="6" max="6" width="25.90625" customWidth="1"/>
    <col min="7" max="8" width="25.7265625" customWidth="1"/>
    <col min="9" max="10" width="13" customWidth="1"/>
    <col min="12" max="12" width="11.453125" style="1" customWidth="1"/>
    <col min="13" max="13" width="13.36328125" style="1" bestFit="1" customWidth="1"/>
    <col min="14" max="14" width="24.7265625" bestFit="1" customWidth="1"/>
  </cols>
  <sheetData>
    <row r="1" spans="1:13" ht="15.5" x14ac:dyDescent="0.35">
      <c r="A1" s="4" t="s">
        <v>234</v>
      </c>
      <c r="B1" s="4" t="s">
        <v>766</v>
      </c>
      <c r="C1" s="4" t="s">
        <v>160</v>
      </c>
      <c r="D1" s="4" t="s">
        <v>0</v>
      </c>
      <c r="E1" s="4" t="s">
        <v>161</v>
      </c>
      <c r="F1" s="4" t="s">
        <v>162</v>
      </c>
      <c r="G1" s="5" t="s">
        <v>163</v>
      </c>
      <c r="H1" s="5" t="s">
        <v>1037</v>
      </c>
    </row>
    <row r="2" spans="1:13" ht="15.5" x14ac:dyDescent="0.35">
      <c r="A2" s="6" t="s">
        <v>295</v>
      </c>
      <c r="B2" s="6" t="s">
        <v>1</v>
      </c>
      <c r="C2" s="6">
        <v>1</v>
      </c>
      <c r="D2" s="7" t="s">
        <v>2</v>
      </c>
      <c r="E2" s="8" t="s">
        <v>3</v>
      </c>
      <c r="F2" s="9" t="s">
        <v>164</v>
      </c>
      <c r="G2" s="9" t="s">
        <v>193</v>
      </c>
      <c r="H2" s="78">
        <v>38275</v>
      </c>
      <c r="I2" s="1"/>
      <c r="J2" s="1"/>
      <c r="L2"/>
      <c r="M2"/>
    </row>
    <row r="3" spans="1:13" ht="16" customHeight="1" x14ac:dyDescent="0.35">
      <c r="A3" s="6" t="s">
        <v>296</v>
      </c>
      <c r="B3" s="6" t="s">
        <v>4</v>
      </c>
      <c r="C3" s="6">
        <v>0</v>
      </c>
      <c r="D3" s="7" t="s">
        <v>5</v>
      </c>
      <c r="E3" s="10" t="s">
        <v>6</v>
      </c>
      <c r="F3" s="92" t="s">
        <v>166</v>
      </c>
      <c r="G3" s="9" t="s">
        <v>193</v>
      </c>
      <c r="H3" s="78">
        <v>22045</v>
      </c>
      <c r="L3"/>
      <c r="M3"/>
    </row>
    <row r="4" spans="1:13" ht="15.5" customHeight="1" x14ac:dyDescent="0.35">
      <c r="A4" s="6" t="s">
        <v>297</v>
      </c>
      <c r="B4" s="6" t="s">
        <v>16</v>
      </c>
      <c r="C4" s="6">
        <v>0</v>
      </c>
      <c r="D4" s="7" t="s">
        <v>17</v>
      </c>
      <c r="E4" s="91" t="s">
        <v>18</v>
      </c>
      <c r="F4" s="93" t="s">
        <v>1092</v>
      </c>
      <c r="G4" s="88" t="s">
        <v>195</v>
      </c>
      <c r="H4" s="78">
        <v>803</v>
      </c>
      <c r="L4"/>
      <c r="M4"/>
    </row>
    <row r="5" spans="1:13" ht="16" customHeight="1" x14ac:dyDescent="0.35">
      <c r="A5" s="6" t="s">
        <v>298</v>
      </c>
      <c r="B5" s="6" t="s">
        <v>22</v>
      </c>
      <c r="C5" s="6"/>
      <c r="D5" s="7"/>
      <c r="E5" s="87" t="s">
        <v>81</v>
      </c>
      <c r="F5" s="90"/>
      <c r="G5" s="88"/>
      <c r="H5" s="78">
        <v>28720</v>
      </c>
      <c r="L5"/>
      <c r="M5"/>
    </row>
    <row r="6" spans="1:13" ht="16" customHeight="1" x14ac:dyDescent="0.35">
      <c r="A6" s="6" t="s">
        <v>299</v>
      </c>
      <c r="B6" s="6" t="s">
        <v>23</v>
      </c>
      <c r="C6" s="6">
        <v>0</v>
      </c>
      <c r="D6" s="7" t="s">
        <v>59</v>
      </c>
      <c r="E6" s="10" t="s">
        <v>82</v>
      </c>
      <c r="F6" s="89" t="s">
        <v>211</v>
      </c>
      <c r="G6" s="9" t="s">
        <v>204</v>
      </c>
      <c r="H6" s="78">
        <v>3181</v>
      </c>
      <c r="L6"/>
      <c r="M6"/>
    </row>
    <row r="7" spans="1:13" ht="17.5" customHeight="1" x14ac:dyDescent="0.35">
      <c r="A7" s="6" t="s">
        <v>300</v>
      </c>
      <c r="B7" s="6" t="s">
        <v>24</v>
      </c>
      <c r="C7" s="6">
        <v>1</v>
      </c>
      <c r="D7" s="7" t="s">
        <v>60</v>
      </c>
      <c r="E7" s="10" t="s">
        <v>83</v>
      </c>
      <c r="F7" s="9" t="s">
        <v>167</v>
      </c>
      <c r="G7" s="9" t="s">
        <v>193</v>
      </c>
      <c r="H7" s="78">
        <v>44837</v>
      </c>
      <c r="L7"/>
      <c r="M7"/>
    </row>
    <row r="8" spans="1:13" ht="15.5" x14ac:dyDescent="0.35">
      <c r="A8" s="6" t="s">
        <v>301</v>
      </c>
      <c r="B8" s="6" t="s">
        <v>25</v>
      </c>
      <c r="C8" s="6"/>
      <c r="D8" s="11"/>
      <c r="E8" s="10" t="s">
        <v>80</v>
      </c>
      <c r="F8" s="9"/>
      <c r="G8" s="9"/>
      <c r="H8" s="78">
        <v>36942</v>
      </c>
      <c r="L8"/>
      <c r="M8"/>
    </row>
    <row r="9" spans="1:13" ht="15.5" x14ac:dyDescent="0.35">
      <c r="A9" s="6" t="s">
        <v>302</v>
      </c>
      <c r="B9" s="6" t="s">
        <v>26</v>
      </c>
      <c r="C9" s="6">
        <v>1</v>
      </c>
      <c r="D9" s="11" t="s">
        <v>61</v>
      </c>
      <c r="E9" s="10" t="s">
        <v>84</v>
      </c>
      <c r="F9" s="9" t="s">
        <v>169</v>
      </c>
      <c r="G9" s="9" t="s">
        <v>194</v>
      </c>
      <c r="H9" s="78">
        <v>12226</v>
      </c>
      <c r="L9"/>
      <c r="M9"/>
    </row>
    <row r="10" spans="1:13" ht="15.5" x14ac:dyDescent="0.35">
      <c r="A10" s="6" t="s">
        <v>303</v>
      </c>
      <c r="B10" s="6" t="s">
        <v>27</v>
      </c>
      <c r="C10" s="6">
        <v>1</v>
      </c>
      <c r="D10" s="11" t="s">
        <v>62</v>
      </c>
      <c r="E10" s="10" t="s">
        <v>85</v>
      </c>
      <c r="F10" s="9" t="s">
        <v>171</v>
      </c>
      <c r="G10" s="9" t="s">
        <v>194</v>
      </c>
      <c r="H10" s="78">
        <v>36941</v>
      </c>
      <c r="L10"/>
      <c r="M10"/>
    </row>
    <row r="11" spans="1:13" ht="14.5" customHeight="1" x14ac:dyDescent="0.35">
      <c r="A11" s="6" t="s">
        <v>304</v>
      </c>
      <c r="B11" s="6" t="s">
        <v>28</v>
      </c>
      <c r="C11" s="6">
        <v>1</v>
      </c>
      <c r="D11" s="11" t="s">
        <v>63</v>
      </c>
      <c r="E11" s="10" t="s">
        <v>86</v>
      </c>
      <c r="F11" s="9" t="s">
        <v>172</v>
      </c>
      <c r="G11" s="9" t="s">
        <v>198</v>
      </c>
      <c r="H11" s="78">
        <v>39392</v>
      </c>
      <c r="L11"/>
      <c r="M11"/>
    </row>
    <row r="12" spans="1:13" ht="15.5" x14ac:dyDescent="0.35">
      <c r="A12" s="6" t="s">
        <v>305</v>
      </c>
      <c r="B12" s="6" t="s">
        <v>41</v>
      </c>
      <c r="C12" s="6">
        <v>1</v>
      </c>
      <c r="D12" s="11" t="s">
        <v>64</v>
      </c>
      <c r="E12" s="10" t="s">
        <v>87</v>
      </c>
      <c r="F12" s="9" t="s">
        <v>1093</v>
      </c>
      <c r="G12" s="9" t="s">
        <v>1094</v>
      </c>
      <c r="H12" s="78">
        <v>26219</v>
      </c>
      <c r="L12"/>
      <c r="M12"/>
    </row>
    <row r="13" spans="1:13" ht="15.5" x14ac:dyDescent="0.35">
      <c r="A13" s="6" t="s">
        <v>306</v>
      </c>
      <c r="B13" s="6" t="s">
        <v>42</v>
      </c>
      <c r="C13" s="6"/>
      <c r="D13" s="11"/>
      <c r="E13" s="10" t="s">
        <v>88</v>
      </c>
      <c r="F13" s="9"/>
      <c r="G13" s="9"/>
      <c r="H13" s="78">
        <v>21269</v>
      </c>
      <c r="L13"/>
      <c r="M13"/>
    </row>
    <row r="14" spans="1:13" ht="15" customHeight="1" x14ac:dyDescent="0.35">
      <c r="A14" s="6" t="s">
        <v>307</v>
      </c>
      <c r="B14" s="6" t="s">
        <v>33</v>
      </c>
      <c r="C14" s="6">
        <v>0</v>
      </c>
      <c r="D14" s="11" t="s">
        <v>65</v>
      </c>
      <c r="E14" s="10" t="s">
        <v>108</v>
      </c>
      <c r="F14" s="9" t="s">
        <v>173</v>
      </c>
      <c r="G14" s="9" t="s">
        <v>194</v>
      </c>
      <c r="H14" s="78">
        <v>39751</v>
      </c>
      <c r="L14"/>
      <c r="M14"/>
    </row>
    <row r="15" spans="1:13" ht="15.5" x14ac:dyDescent="0.35">
      <c r="A15" s="6" t="s">
        <v>308</v>
      </c>
      <c r="B15" s="6" t="s">
        <v>34</v>
      </c>
      <c r="C15" s="6">
        <v>0</v>
      </c>
      <c r="D15" s="11" t="s">
        <v>66</v>
      </c>
      <c r="E15" s="10" t="s">
        <v>89</v>
      </c>
      <c r="F15" s="9" t="s">
        <v>174</v>
      </c>
      <c r="G15" s="9" t="s">
        <v>193</v>
      </c>
      <c r="H15" s="78">
        <v>28032</v>
      </c>
      <c r="L15"/>
      <c r="M15"/>
    </row>
    <row r="16" spans="1:13" ht="15.5" x14ac:dyDescent="0.35">
      <c r="A16" s="6" t="s">
        <v>309</v>
      </c>
      <c r="B16" s="6" t="s">
        <v>35</v>
      </c>
      <c r="C16" s="6">
        <v>0</v>
      </c>
      <c r="D16" s="11" t="s">
        <v>67</v>
      </c>
      <c r="E16" s="10" t="s">
        <v>212</v>
      </c>
      <c r="F16" s="9" t="s">
        <v>213</v>
      </c>
      <c r="G16" s="9" t="s">
        <v>193</v>
      </c>
      <c r="H16" s="78">
        <v>33006</v>
      </c>
      <c r="L16"/>
      <c r="M16"/>
    </row>
    <row r="17" spans="1:13" ht="15.5" x14ac:dyDescent="0.35">
      <c r="A17" s="6" t="s">
        <v>310</v>
      </c>
      <c r="B17" s="6" t="s">
        <v>43</v>
      </c>
      <c r="C17" s="6">
        <v>1</v>
      </c>
      <c r="D17" s="11" t="s">
        <v>68</v>
      </c>
      <c r="E17" s="10" t="s">
        <v>90</v>
      </c>
      <c r="F17" s="9" t="s">
        <v>1109</v>
      </c>
      <c r="G17" s="9" t="s">
        <v>199</v>
      </c>
      <c r="H17" s="78">
        <v>27714</v>
      </c>
      <c r="L17"/>
      <c r="M17"/>
    </row>
    <row r="18" spans="1:13" ht="15.5" x14ac:dyDescent="0.35">
      <c r="A18" s="6" t="s">
        <v>311</v>
      </c>
      <c r="B18" s="6" t="s">
        <v>44</v>
      </c>
      <c r="C18" s="6"/>
      <c r="D18" s="11"/>
      <c r="E18" s="10" t="s">
        <v>109</v>
      </c>
      <c r="F18" s="9"/>
      <c r="G18" s="9"/>
      <c r="H18" s="78">
        <v>36836</v>
      </c>
      <c r="L18"/>
      <c r="M18"/>
    </row>
    <row r="19" spans="1:13" ht="15.5" x14ac:dyDescent="0.35">
      <c r="A19" s="6" t="s">
        <v>312</v>
      </c>
      <c r="B19" s="6" t="s">
        <v>45</v>
      </c>
      <c r="C19" s="6">
        <v>1</v>
      </c>
      <c r="D19" s="11" t="s">
        <v>69</v>
      </c>
      <c r="E19" s="10" t="s">
        <v>91</v>
      </c>
      <c r="F19" s="9" t="s">
        <v>1090</v>
      </c>
      <c r="G19" s="9" t="s">
        <v>193</v>
      </c>
      <c r="H19" s="78">
        <v>30579</v>
      </c>
      <c r="L19"/>
      <c r="M19"/>
    </row>
    <row r="20" spans="1:13" ht="15.5" x14ac:dyDescent="0.35">
      <c r="A20" s="6" t="s">
        <v>313</v>
      </c>
      <c r="B20" s="6" t="s">
        <v>46</v>
      </c>
      <c r="C20" s="6">
        <v>1</v>
      </c>
      <c r="D20" s="11" t="s">
        <v>70</v>
      </c>
      <c r="E20" s="10" t="s">
        <v>107</v>
      </c>
      <c r="F20" s="9" t="s">
        <v>175</v>
      </c>
      <c r="G20" s="9" t="s">
        <v>194</v>
      </c>
      <c r="H20" s="78">
        <v>40195</v>
      </c>
      <c r="L20"/>
      <c r="M20"/>
    </row>
    <row r="21" spans="1:13" ht="17.5" customHeight="1" x14ac:dyDescent="0.35">
      <c r="A21" s="6" t="s">
        <v>314</v>
      </c>
      <c r="B21" s="6" t="s">
        <v>47</v>
      </c>
      <c r="C21" s="6">
        <v>1</v>
      </c>
      <c r="D21" s="11" t="s">
        <v>71</v>
      </c>
      <c r="E21" s="10" t="s">
        <v>92</v>
      </c>
      <c r="F21" s="9" t="s">
        <v>176</v>
      </c>
      <c r="G21" s="9" t="s">
        <v>193</v>
      </c>
      <c r="H21" s="78">
        <v>32560</v>
      </c>
      <c r="L21"/>
      <c r="M21"/>
    </row>
    <row r="22" spans="1:13" ht="15.5" x14ac:dyDescent="0.35">
      <c r="A22" s="6" t="s">
        <v>315</v>
      </c>
      <c r="B22" s="6" t="s">
        <v>48</v>
      </c>
      <c r="C22" s="6">
        <v>1</v>
      </c>
      <c r="D22" s="11" t="s">
        <v>72</v>
      </c>
      <c r="E22" s="10" t="s">
        <v>105</v>
      </c>
      <c r="F22" s="9" t="s">
        <v>1095</v>
      </c>
      <c r="G22" s="9" t="s">
        <v>200</v>
      </c>
      <c r="H22" s="78">
        <v>45965</v>
      </c>
      <c r="L22"/>
      <c r="M22"/>
    </row>
    <row r="23" spans="1:13" ht="15.5" x14ac:dyDescent="0.35">
      <c r="A23" s="6" t="s">
        <v>316</v>
      </c>
      <c r="B23" s="6" t="s">
        <v>49</v>
      </c>
      <c r="C23" s="6"/>
      <c r="D23" s="11"/>
      <c r="E23" s="10" t="s">
        <v>93</v>
      </c>
      <c r="F23" s="9"/>
      <c r="G23" s="9"/>
      <c r="H23" s="78">
        <v>42477</v>
      </c>
      <c r="L23"/>
      <c r="M23"/>
    </row>
    <row r="24" spans="1:13" ht="15.5" x14ac:dyDescent="0.35">
      <c r="A24" s="6" t="s">
        <v>317</v>
      </c>
      <c r="B24" s="6" t="s">
        <v>50</v>
      </c>
      <c r="C24" s="6"/>
      <c r="D24" s="11"/>
      <c r="E24" s="10" t="s">
        <v>106</v>
      </c>
      <c r="F24" s="9"/>
      <c r="G24" s="9"/>
      <c r="H24" s="78">
        <v>10352</v>
      </c>
      <c r="L24"/>
      <c r="M24"/>
    </row>
    <row r="25" spans="1:13" ht="15.5" x14ac:dyDescent="0.35">
      <c r="A25" s="6" t="s">
        <v>318</v>
      </c>
      <c r="B25" s="6" t="s">
        <v>51</v>
      </c>
      <c r="C25" s="6"/>
      <c r="D25" s="11"/>
      <c r="E25" s="10" t="s">
        <v>94</v>
      </c>
      <c r="F25" s="9"/>
      <c r="G25" s="9"/>
      <c r="H25" s="78">
        <v>19838</v>
      </c>
      <c r="L25"/>
      <c r="M25"/>
    </row>
    <row r="26" spans="1:13" ht="15.5" x14ac:dyDescent="0.35">
      <c r="A26" s="6" t="s">
        <v>319</v>
      </c>
      <c r="B26" s="6" t="s">
        <v>52</v>
      </c>
      <c r="C26" s="6"/>
      <c r="D26" s="11"/>
      <c r="E26" s="10" t="s">
        <v>104</v>
      </c>
      <c r="F26" s="9"/>
      <c r="G26" s="9"/>
      <c r="H26" s="78">
        <v>25579</v>
      </c>
      <c r="L26"/>
      <c r="M26"/>
    </row>
    <row r="27" spans="1:13" ht="15.5" x14ac:dyDescent="0.35">
      <c r="A27" s="6" t="s">
        <v>320</v>
      </c>
      <c r="B27" s="6" t="s">
        <v>53</v>
      </c>
      <c r="C27" s="6"/>
      <c r="D27" s="11"/>
      <c r="E27" s="10" t="s">
        <v>95</v>
      </c>
      <c r="F27" s="9"/>
      <c r="G27" s="9"/>
      <c r="H27" s="78">
        <v>34323</v>
      </c>
      <c r="L27"/>
      <c r="M27"/>
    </row>
    <row r="28" spans="1:13" ht="15.5" x14ac:dyDescent="0.35">
      <c r="A28" s="6" t="s">
        <v>321</v>
      </c>
      <c r="B28" s="6" t="s">
        <v>54</v>
      </c>
      <c r="C28" s="6">
        <v>1</v>
      </c>
      <c r="D28" s="11" t="s">
        <v>73</v>
      </c>
      <c r="E28" s="10" t="s">
        <v>103</v>
      </c>
      <c r="F28" s="9" t="s">
        <v>177</v>
      </c>
      <c r="G28" s="9" t="s">
        <v>196</v>
      </c>
      <c r="H28" s="78">
        <v>32604</v>
      </c>
      <c r="L28"/>
      <c r="M28"/>
    </row>
    <row r="29" spans="1:13" ht="15.5" x14ac:dyDescent="0.35">
      <c r="A29" s="6" t="s">
        <v>322</v>
      </c>
      <c r="B29" s="6" t="s">
        <v>55</v>
      </c>
      <c r="C29" s="6">
        <v>1</v>
      </c>
      <c r="D29" s="11" t="s">
        <v>74</v>
      </c>
      <c r="E29" s="10" t="s">
        <v>96</v>
      </c>
      <c r="F29" s="9" t="s">
        <v>178</v>
      </c>
      <c r="G29" s="9" t="s">
        <v>201</v>
      </c>
      <c r="H29" s="78">
        <v>382</v>
      </c>
      <c r="L29"/>
      <c r="M29"/>
    </row>
    <row r="30" spans="1:13" ht="15.5" x14ac:dyDescent="0.35">
      <c r="A30" s="6" t="s">
        <v>323</v>
      </c>
      <c r="B30" s="6" t="s">
        <v>56</v>
      </c>
      <c r="C30" s="6">
        <v>1</v>
      </c>
      <c r="D30" s="11" t="s">
        <v>75</v>
      </c>
      <c r="E30" s="10" t="s">
        <v>102</v>
      </c>
      <c r="F30" s="9" t="s">
        <v>179</v>
      </c>
      <c r="G30" s="9" t="s">
        <v>202</v>
      </c>
      <c r="H30" s="78">
        <v>11786</v>
      </c>
      <c r="L30"/>
      <c r="M30"/>
    </row>
    <row r="31" spans="1:13" ht="15.5" x14ac:dyDescent="0.35">
      <c r="A31" s="6" t="s">
        <v>324</v>
      </c>
      <c r="B31" s="6" t="s">
        <v>57</v>
      </c>
      <c r="C31" s="6">
        <v>1</v>
      </c>
      <c r="D31" s="11" t="s">
        <v>76</v>
      </c>
      <c r="E31" s="10" t="s">
        <v>97</v>
      </c>
      <c r="F31" s="9" t="s">
        <v>180</v>
      </c>
      <c r="G31" s="9" t="s">
        <v>203</v>
      </c>
      <c r="H31" s="78">
        <v>17319</v>
      </c>
      <c r="L31"/>
      <c r="M31"/>
    </row>
    <row r="32" spans="1:13" ht="15.5" x14ac:dyDescent="0.35">
      <c r="A32" s="6" t="s">
        <v>325</v>
      </c>
      <c r="B32" s="6" t="s">
        <v>58</v>
      </c>
      <c r="C32" s="6">
        <v>1</v>
      </c>
      <c r="D32" s="11" t="s">
        <v>77</v>
      </c>
      <c r="E32" s="10" t="s">
        <v>101</v>
      </c>
      <c r="F32" s="9" t="s">
        <v>181</v>
      </c>
      <c r="G32" s="9" t="s">
        <v>204</v>
      </c>
      <c r="H32" s="78">
        <v>16375</v>
      </c>
      <c r="L32"/>
      <c r="M32"/>
    </row>
    <row r="33" spans="1:13" ht="15.5" x14ac:dyDescent="0.35">
      <c r="A33" s="6" t="s">
        <v>326</v>
      </c>
      <c r="B33" s="6" t="s">
        <v>36</v>
      </c>
      <c r="C33" s="6">
        <v>0</v>
      </c>
      <c r="D33" s="11" t="s">
        <v>78</v>
      </c>
      <c r="E33" s="10" t="s">
        <v>98</v>
      </c>
      <c r="F33" s="12" t="s">
        <v>215</v>
      </c>
      <c r="G33" s="6" t="s">
        <v>214</v>
      </c>
      <c r="H33" s="78">
        <v>30018</v>
      </c>
      <c r="L33"/>
      <c r="M33"/>
    </row>
    <row r="34" spans="1:13" ht="15.5" x14ac:dyDescent="0.35">
      <c r="A34" s="6" t="s">
        <v>327</v>
      </c>
      <c r="B34" s="6" t="s">
        <v>37</v>
      </c>
      <c r="C34" s="6">
        <v>0</v>
      </c>
      <c r="D34" s="11" t="s">
        <v>79</v>
      </c>
      <c r="E34" s="10" t="s">
        <v>100</v>
      </c>
      <c r="F34" s="9" t="s">
        <v>1074</v>
      </c>
      <c r="G34" s="9" t="s">
        <v>1128</v>
      </c>
      <c r="H34" s="78">
        <v>45196</v>
      </c>
      <c r="L34"/>
      <c r="M34"/>
    </row>
    <row r="35" spans="1:13" ht="16.5" customHeight="1" x14ac:dyDescent="0.35">
      <c r="A35" s="6" t="s">
        <v>328</v>
      </c>
      <c r="B35" s="6" t="s">
        <v>38</v>
      </c>
      <c r="C35" s="6"/>
      <c r="D35" s="11"/>
      <c r="E35" s="10" t="s">
        <v>99</v>
      </c>
      <c r="F35" s="9"/>
      <c r="G35" s="9"/>
      <c r="H35" s="78">
        <v>35049</v>
      </c>
      <c r="L35"/>
      <c r="M35"/>
    </row>
    <row r="36" spans="1:13" ht="15.5" x14ac:dyDescent="0.35">
      <c r="A36" s="6" t="s">
        <v>329</v>
      </c>
      <c r="B36" s="6" t="s">
        <v>39</v>
      </c>
      <c r="C36" s="6"/>
      <c r="D36" s="11"/>
      <c r="E36" s="10" t="s">
        <v>110</v>
      </c>
      <c r="F36" s="9"/>
      <c r="G36" s="9"/>
      <c r="H36" s="78">
        <v>32358</v>
      </c>
      <c r="L36"/>
      <c r="M36"/>
    </row>
    <row r="37" spans="1:13" ht="15.5" x14ac:dyDescent="0.35">
      <c r="A37" s="6" t="s">
        <v>330</v>
      </c>
      <c r="B37" s="6" t="s">
        <v>40</v>
      </c>
      <c r="C37" s="6"/>
      <c r="D37" s="11"/>
      <c r="E37" s="10" t="s">
        <v>111</v>
      </c>
      <c r="F37" s="9"/>
      <c r="G37" s="9"/>
      <c r="H37" s="78">
        <v>32309</v>
      </c>
      <c r="L37"/>
      <c r="M37"/>
    </row>
    <row r="38" spans="1:13" ht="15.5" x14ac:dyDescent="0.35">
      <c r="A38" s="6" t="s">
        <v>331</v>
      </c>
      <c r="B38" s="6" t="s">
        <v>112</v>
      </c>
      <c r="C38" s="6">
        <v>1</v>
      </c>
      <c r="D38" s="13" t="s">
        <v>1110</v>
      </c>
      <c r="E38" s="10" t="s">
        <v>132</v>
      </c>
      <c r="F38" s="9" t="s">
        <v>182</v>
      </c>
      <c r="G38" s="9" t="s">
        <v>193</v>
      </c>
      <c r="H38" s="78">
        <v>24521</v>
      </c>
      <c r="L38"/>
      <c r="M38"/>
    </row>
    <row r="39" spans="1:13" ht="15.5" x14ac:dyDescent="0.35">
      <c r="A39" s="6" t="s">
        <v>332</v>
      </c>
      <c r="B39" s="6" t="s">
        <v>113</v>
      </c>
      <c r="C39" s="6">
        <v>0</v>
      </c>
      <c r="D39" s="13" t="s">
        <v>1111</v>
      </c>
      <c r="E39" s="10" t="s">
        <v>133</v>
      </c>
      <c r="F39" s="9" t="s">
        <v>1079</v>
      </c>
      <c r="G39" s="9" t="s">
        <v>206</v>
      </c>
      <c r="H39" s="78">
        <v>180</v>
      </c>
      <c r="L39"/>
      <c r="M39"/>
    </row>
    <row r="40" spans="1:13" ht="15.5" x14ac:dyDescent="0.35">
      <c r="A40" s="6" t="s">
        <v>333</v>
      </c>
      <c r="B40" s="6" t="s">
        <v>114</v>
      </c>
      <c r="C40" s="6">
        <v>1</v>
      </c>
      <c r="D40" s="13" t="s">
        <v>1112</v>
      </c>
      <c r="E40" s="10" t="s">
        <v>134</v>
      </c>
      <c r="F40" s="9" t="s">
        <v>184</v>
      </c>
      <c r="G40" s="9" t="s">
        <v>193</v>
      </c>
      <c r="H40" s="78">
        <v>21841</v>
      </c>
      <c r="L40"/>
      <c r="M40"/>
    </row>
    <row r="41" spans="1:13" ht="15.5" x14ac:dyDescent="0.35">
      <c r="A41" s="6" t="s">
        <v>334</v>
      </c>
      <c r="B41" s="6" t="s">
        <v>115</v>
      </c>
      <c r="C41" s="6">
        <v>0</v>
      </c>
      <c r="D41" s="13" t="s">
        <v>1113</v>
      </c>
      <c r="E41" s="10" t="s">
        <v>153</v>
      </c>
      <c r="F41" s="9" t="s">
        <v>185</v>
      </c>
      <c r="G41" s="9" t="s">
        <v>197</v>
      </c>
      <c r="H41" s="78">
        <v>18053</v>
      </c>
      <c r="L41"/>
      <c r="M41"/>
    </row>
    <row r="42" spans="1:13" ht="15.5" x14ac:dyDescent="0.35">
      <c r="A42" s="6" t="s">
        <v>335</v>
      </c>
      <c r="B42" s="6" t="s">
        <v>116</v>
      </c>
      <c r="C42" s="6"/>
      <c r="D42" s="11"/>
      <c r="E42" s="10" t="s">
        <v>135</v>
      </c>
      <c r="F42" s="9"/>
      <c r="G42" s="9"/>
      <c r="H42" s="78">
        <v>30208</v>
      </c>
      <c r="L42"/>
      <c r="M42"/>
    </row>
    <row r="43" spans="1:13" ht="15.5" x14ac:dyDescent="0.35">
      <c r="A43" s="6" t="s">
        <v>336</v>
      </c>
      <c r="B43" s="6" t="s">
        <v>117</v>
      </c>
      <c r="C43" s="6"/>
      <c r="D43" s="11"/>
      <c r="E43" s="10" t="s">
        <v>136</v>
      </c>
      <c r="F43" s="9"/>
      <c r="G43" s="9"/>
      <c r="H43" s="78">
        <v>3964</v>
      </c>
      <c r="L43"/>
      <c r="M43"/>
    </row>
    <row r="44" spans="1:13" ht="15.5" x14ac:dyDescent="0.35">
      <c r="A44" s="6" t="s">
        <v>337</v>
      </c>
      <c r="B44" s="6" t="s">
        <v>118</v>
      </c>
      <c r="C44" s="6">
        <v>1</v>
      </c>
      <c r="D44" s="13" t="s">
        <v>1114</v>
      </c>
      <c r="E44" s="10" t="s">
        <v>137</v>
      </c>
      <c r="F44" s="9" t="s">
        <v>186</v>
      </c>
      <c r="G44" s="9" t="s">
        <v>194</v>
      </c>
      <c r="H44" s="78">
        <v>39668</v>
      </c>
      <c r="L44"/>
      <c r="M44"/>
    </row>
    <row r="45" spans="1:13" ht="15.5" x14ac:dyDescent="0.35">
      <c r="A45" s="6" t="s">
        <v>338</v>
      </c>
      <c r="B45" s="6" t="s">
        <v>217</v>
      </c>
      <c r="C45" s="6">
        <v>0</v>
      </c>
      <c r="D45" s="13" t="s">
        <v>1115</v>
      </c>
      <c r="E45" s="10" t="s">
        <v>152</v>
      </c>
      <c r="F45" s="9" t="s">
        <v>187</v>
      </c>
      <c r="G45" s="9" t="s">
        <v>198</v>
      </c>
      <c r="H45" s="78">
        <v>38684</v>
      </c>
      <c r="L45"/>
      <c r="M45"/>
    </row>
    <row r="46" spans="1:13" ht="15.5" x14ac:dyDescent="0.35">
      <c r="A46" s="6" t="s">
        <v>339</v>
      </c>
      <c r="B46" s="6" t="s">
        <v>119</v>
      </c>
      <c r="C46" s="6">
        <v>1</v>
      </c>
      <c r="D46" s="13" t="s">
        <v>1116</v>
      </c>
      <c r="E46" s="10" t="s">
        <v>138</v>
      </c>
      <c r="F46" s="9" t="s">
        <v>188</v>
      </c>
      <c r="G46" s="9" t="s">
        <v>198</v>
      </c>
      <c r="H46" s="78">
        <v>34878</v>
      </c>
      <c r="L46"/>
      <c r="M46"/>
    </row>
    <row r="47" spans="1:13" ht="15.5" x14ac:dyDescent="0.35">
      <c r="A47" s="6" t="s">
        <v>340</v>
      </c>
      <c r="B47" s="6" t="s">
        <v>120</v>
      </c>
      <c r="C47" s="6">
        <v>0</v>
      </c>
      <c r="D47" s="13" t="s">
        <v>1117</v>
      </c>
      <c r="E47" s="10" t="s">
        <v>139</v>
      </c>
      <c r="F47" s="9" t="s">
        <v>189</v>
      </c>
      <c r="G47" s="9" t="s">
        <v>207</v>
      </c>
      <c r="H47" s="78">
        <v>850</v>
      </c>
      <c r="L47"/>
      <c r="M47"/>
    </row>
    <row r="48" spans="1:13" ht="15.5" x14ac:dyDescent="0.35">
      <c r="A48" s="6" t="s">
        <v>341</v>
      </c>
      <c r="B48" s="6" t="s">
        <v>121</v>
      </c>
      <c r="C48" s="6">
        <v>1</v>
      </c>
      <c r="D48" s="13" t="s">
        <v>1118</v>
      </c>
      <c r="E48" s="10" t="s">
        <v>140</v>
      </c>
      <c r="F48" s="9" t="s">
        <v>1096</v>
      </c>
      <c r="G48" s="9" t="s">
        <v>208</v>
      </c>
      <c r="H48" s="78">
        <v>6999</v>
      </c>
      <c r="L48"/>
      <c r="M48"/>
    </row>
    <row r="49" spans="1:13" ht="15.5" customHeight="1" x14ac:dyDescent="0.35">
      <c r="A49" s="6" t="s">
        <v>342</v>
      </c>
      <c r="B49" s="6" t="s">
        <v>122</v>
      </c>
      <c r="C49" s="6"/>
      <c r="D49" s="11"/>
      <c r="E49" s="10" t="s">
        <v>151</v>
      </c>
      <c r="F49" s="9"/>
      <c r="G49" s="9"/>
      <c r="H49" s="78">
        <v>32542</v>
      </c>
      <c r="L49"/>
      <c r="M49"/>
    </row>
    <row r="50" spans="1:13" ht="15.5" x14ac:dyDescent="0.35">
      <c r="A50" s="6" t="s">
        <v>343</v>
      </c>
      <c r="B50" s="6" t="s">
        <v>123</v>
      </c>
      <c r="C50" s="6"/>
      <c r="D50" s="11"/>
      <c r="E50" s="10" t="s">
        <v>141</v>
      </c>
      <c r="F50" s="9"/>
      <c r="G50" s="9"/>
      <c r="H50" s="78">
        <v>18966</v>
      </c>
      <c r="L50"/>
      <c r="M50"/>
    </row>
    <row r="51" spans="1:13" ht="15.5" x14ac:dyDescent="0.35">
      <c r="A51" s="6" t="s">
        <v>344</v>
      </c>
      <c r="B51" s="6" t="s">
        <v>124</v>
      </c>
      <c r="C51" s="6"/>
      <c r="D51" s="11"/>
      <c r="E51" s="10" t="s">
        <v>142</v>
      </c>
      <c r="F51" s="9"/>
      <c r="G51" s="9"/>
      <c r="H51" s="78">
        <v>30539</v>
      </c>
      <c r="L51"/>
      <c r="M51"/>
    </row>
    <row r="52" spans="1:13" ht="15.5" x14ac:dyDescent="0.35">
      <c r="A52" s="6" t="s">
        <v>345</v>
      </c>
      <c r="B52" s="6" t="s">
        <v>125</v>
      </c>
      <c r="C52" s="6">
        <v>1</v>
      </c>
      <c r="D52" s="13" t="s">
        <v>1119</v>
      </c>
      <c r="E52" s="10" t="s">
        <v>150</v>
      </c>
      <c r="F52" s="9" t="s">
        <v>1097</v>
      </c>
      <c r="G52" s="9" t="s">
        <v>209</v>
      </c>
      <c r="H52" s="78">
        <v>45490</v>
      </c>
      <c r="L52"/>
      <c r="M52"/>
    </row>
    <row r="53" spans="1:13" ht="17" customHeight="1" x14ac:dyDescent="0.35">
      <c r="A53" s="6" t="s">
        <v>346</v>
      </c>
      <c r="B53" s="6" t="s">
        <v>126</v>
      </c>
      <c r="C53" s="6">
        <v>0</v>
      </c>
      <c r="D53" s="13" t="s">
        <v>1120</v>
      </c>
      <c r="E53" s="10" t="s">
        <v>143</v>
      </c>
      <c r="F53" s="9" t="s">
        <v>191</v>
      </c>
      <c r="G53" s="9" t="s">
        <v>193</v>
      </c>
      <c r="H53" s="78">
        <v>46356</v>
      </c>
      <c r="L53"/>
      <c r="M53"/>
    </row>
    <row r="54" spans="1:13" ht="15.5" x14ac:dyDescent="0.35">
      <c r="A54" s="6" t="s">
        <v>347</v>
      </c>
      <c r="B54" s="6" t="s">
        <v>127</v>
      </c>
      <c r="C54" s="6">
        <v>1</v>
      </c>
      <c r="D54" s="13" t="s">
        <v>1121</v>
      </c>
      <c r="E54" s="10" t="s">
        <v>144</v>
      </c>
      <c r="F54" s="9" t="s">
        <v>192</v>
      </c>
      <c r="G54" s="9" t="s">
        <v>210</v>
      </c>
      <c r="H54" s="78">
        <v>46624</v>
      </c>
      <c r="L54"/>
      <c r="M54"/>
    </row>
    <row r="55" spans="1:13" ht="15.5" x14ac:dyDescent="0.35">
      <c r="A55" s="6" t="s">
        <v>348</v>
      </c>
      <c r="B55" s="6" t="s">
        <v>128</v>
      </c>
      <c r="C55" s="6">
        <v>0</v>
      </c>
      <c r="D55" s="13" t="s">
        <v>1122</v>
      </c>
      <c r="E55" s="10" t="s">
        <v>145</v>
      </c>
      <c r="F55" s="9" t="s">
        <v>170</v>
      </c>
      <c r="G55" s="9" t="s">
        <v>194</v>
      </c>
      <c r="H55" s="78">
        <v>39252</v>
      </c>
      <c r="K55" s="1"/>
      <c r="M55"/>
    </row>
    <row r="56" spans="1:13" ht="15.5" x14ac:dyDescent="0.35">
      <c r="A56" s="6" t="s">
        <v>349</v>
      </c>
      <c r="B56" s="6" t="s">
        <v>218</v>
      </c>
      <c r="C56" s="6">
        <v>0</v>
      </c>
      <c r="D56" s="13" t="s">
        <v>1123</v>
      </c>
      <c r="E56" s="10" t="s">
        <v>149</v>
      </c>
      <c r="F56" s="6" t="s">
        <v>216</v>
      </c>
      <c r="G56" s="6" t="s">
        <v>193</v>
      </c>
      <c r="H56" s="78">
        <v>34391</v>
      </c>
      <c r="K56" s="1"/>
      <c r="M56"/>
    </row>
    <row r="57" spans="1:13" ht="15.5" x14ac:dyDescent="0.35">
      <c r="A57" s="6" t="s">
        <v>350</v>
      </c>
      <c r="B57" s="6" t="s">
        <v>130</v>
      </c>
      <c r="C57" s="6">
        <v>0</v>
      </c>
      <c r="D57" s="13" t="s">
        <v>1124</v>
      </c>
      <c r="E57" s="10" t="s">
        <v>146</v>
      </c>
      <c r="F57" s="9" t="s">
        <v>1099</v>
      </c>
      <c r="G57" s="9" t="s">
        <v>205</v>
      </c>
      <c r="H57" s="78">
        <v>2557</v>
      </c>
      <c r="K57" s="1"/>
      <c r="M57"/>
    </row>
    <row r="58" spans="1:13" ht="15.5" x14ac:dyDescent="0.35">
      <c r="A58" s="6" t="s">
        <v>351</v>
      </c>
      <c r="B58" s="6" t="s">
        <v>129</v>
      </c>
      <c r="C58" s="6">
        <v>1</v>
      </c>
      <c r="D58" s="13" t="s">
        <v>1125</v>
      </c>
      <c r="E58" s="10" t="s">
        <v>147</v>
      </c>
      <c r="F58" s="9" t="s">
        <v>1100</v>
      </c>
      <c r="G58" s="9" t="s">
        <v>203</v>
      </c>
      <c r="H58" s="78">
        <v>23899</v>
      </c>
      <c r="K58" s="1"/>
      <c r="M58"/>
    </row>
    <row r="59" spans="1:13" ht="15.5" x14ac:dyDescent="0.35">
      <c r="A59" s="6" t="s">
        <v>352</v>
      </c>
      <c r="B59" s="6" t="s">
        <v>131</v>
      </c>
      <c r="C59" s="6"/>
      <c r="D59" s="11"/>
      <c r="E59" s="10" t="s">
        <v>148</v>
      </c>
      <c r="F59" s="9"/>
      <c r="G59" s="9"/>
      <c r="H59" s="78">
        <v>31992</v>
      </c>
      <c r="K59" s="1"/>
      <c r="M59"/>
    </row>
    <row r="60" spans="1:13" ht="16.5" customHeight="1" x14ac:dyDescent="0.35">
      <c r="A60" s="6" t="s">
        <v>353</v>
      </c>
      <c r="B60" s="6" t="s">
        <v>155</v>
      </c>
      <c r="C60" s="6"/>
      <c r="D60" s="11"/>
      <c r="E60" s="10" t="s">
        <v>156</v>
      </c>
      <c r="F60" s="9"/>
      <c r="G60" s="9"/>
      <c r="H60" s="78">
        <v>43528</v>
      </c>
      <c r="K60" s="1"/>
      <c r="M60"/>
    </row>
    <row r="61" spans="1:13" ht="15" customHeight="1" x14ac:dyDescent="0.35">
      <c r="A61" s="6" t="s">
        <v>354</v>
      </c>
      <c r="B61" s="6" t="s">
        <v>154</v>
      </c>
      <c r="C61" s="6">
        <v>1</v>
      </c>
      <c r="D61" s="11" t="s">
        <v>157</v>
      </c>
      <c r="E61" s="10" t="s">
        <v>158</v>
      </c>
      <c r="F61" s="9" t="s">
        <v>165</v>
      </c>
      <c r="G61" s="9" t="s">
        <v>194</v>
      </c>
      <c r="H61" s="78">
        <v>40385</v>
      </c>
    </row>
    <row r="62" spans="1:13" ht="31" x14ac:dyDescent="0.35">
      <c r="A62" s="6" t="s">
        <v>355</v>
      </c>
      <c r="B62" s="9" t="s">
        <v>936</v>
      </c>
      <c r="C62" s="9"/>
      <c r="D62" s="95" t="s">
        <v>937</v>
      </c>
      <c r="E62" s="40" t="s">
        <v>962</v>
      </c>
      <c r="F62" s="9" t="s">
        <v>1101</v>
      </c>
      <c r="G62" s="9" t="s">
        <v>193</v>
      </c>
      <c r="H62" s="78">
        <v>37864</v>
      </c>
    </row>
    <row r="63" spans="1:13" ht="31" x14ac:dyDescent="0.35">
      <c r="A63" s="6" t="s">
        <v>356</v>
      </c>
      <c r="B63" s="9" t="s">
        <v>938</v>
      </c>
      <c r="C63" s="9"/>
      <c r="D63" s="95" t="s">
        <v>939</v>
      </c>
      <c r="E63" s="40" t="s">
        <v>963</v>
      </c>
      <c r="F63" s="9" t="s">
        <v>1103</v>
      </c>
      <c r="G63" s="9" t="s">
        <v>1102</v>
      </c>
      <c r="H63" s="78">
        <v>37106</v>
      </c>
    </row>
    <row r="64" spans="1:13" ht="31" x14ac:dyDescent="0.35">
      <c r="A64" s="6" t="s">
        <v>357</v>
      </c>
      <c r="B64" s="9" t="s">
        <v>940</v>
      </c>
      <c r="C64" s="9"/>
      <c r="D64" s="9" t="s">
        <v>941</v>
      </c>
      <c r="E64" s="40" t="s">
        <v>964</v>
      </c>
      <c r="F64" s="9" t="s">
        <v>1104</v>
      </c>
      <c r="G64" s="9" t="s">
        <v>198</v>
      </c>
      <c r="H64" s="78">
        <v>41337</v>
      </c>
    </row>
    <row r="65" spans="1:8" ht="31" x14ac:dyDescent="0.35">
      <c r="A65" s="6" t="s">
        <v>358</v>
      </c>
      <c r="B65" s="9" t="s">
        <v>942</v>
      </c>
      <c r="C65" s="9"/>
      <c r="D65" s="9" t="s">
        <v>943</v>
      </c>
      <c r="E65" s="40" t="s">
        <v>965</v>
      </c>
      <c r="F65" s="9" t="s">
        <v>1105</v>
      </c>
      <c r="G65" s="9" t="s">
        <v>214</v>
      </c>
      <c r="H65" s="78">
        <v>35086</v>
      </c>
    </row>
    <row r="66" spans="1:8" ht="31" x14ac:dyDescent="0.35">
      <c r="A66" s="6" t="s">
        <v>359</v>
      </c>
      <c r="B66" s="9" t="s">
        <v>944</v>
      </c>
      <c r="C66" s="9"/>
      <c r="D66" s="9" t="s">
        <v>945</v>
      </c>
      <c r="E66" s="40" t="s">
        <v>966</v>
      </c>
      <c r="F66" s="9" t="s">
        <v>1106</v>
      </c>
      <c r="G66" s="9" t="s">
        <v>206</v>
      </c>
      <c r="H66" s="78">
        <v>39325</v>
      </c>
    </row>
    <row r="67" spans="1:8" ht="31" x14ac:dyDescent="0.35">
      <c r="A67" s="6" t="s">
        <v>360</v>
      </c>
      <c r="B67" s="9" t="s">
        <v>946</v>
      </c>
      <c r="C67" s="9"/>
      <c r="D67" s="9" t="s">
        <v>947</v>
      </c>
      <c r="E67" s="40" t="s">
        <v>967</v>
      </c>
      <c r="F67" s="9" t="s">
        <v>1100</v>
      </c>
      <c r="G67" s="9" t="s">
        <v>203</v>
      </c>
      <c r="H67" s="78">
        <v>33627</v>
      </c>
    </row>
    <row r="68" spans="1:8" ht="31" x14ac:dyDescent="0.35">
      <c r="A68" s="6" t="s">
        <v>361</v>
      </c>
      <c r="B68" s="9" t="s">
        <v>948</v>
      </c>
      <c r="C68" s="9"/>
      <c r="D68" s="9" t="s">
        <v>949</v>
      </c>
      <c r="E68" s="40" t="s">
        <v>968</v>
      </c>
      <c r="F68" s="9" t="s">
        <v>1098</v>
      </c>
      <c r="G68" s="9" t="s">
        <v>193</v>
      </c>
      <c r="H68" s="78">
        <v>39907</v>
      </c>
    </row>
    <row r="69" spans="1:8" ht="31" x14ac:dyDescent="0.35">
      <c r="A69" s="6" t="s">
        <v>362</v>
      </c>
      <c r="B69" s="9" t="s">
        <v>950</v>
      </c>
      <c r="C69" s="9"/>
      <c r="D69" s="9" t="s">
        <v>951</v>
      </c>
      <c r="E69" s="40" t="s">
        <v>970</v>
      </c>
      <c r="F69" s="9" t="s">
        <v>186</v>
      </c>
      <c r="G69" s="9" t="s">
        <v>194</v>
      </c>
      <c r="H69" s="78">
        <v>45352</v>
      </c>
    </row>
    <row r="70" spans="1:8" ht="31" x14ac:dyDescent="0.35">
      <c r="A70" s="6" t="s">
        <v>363</v>
      </c>
      <c r="B70" s="9" t="s">
        <v>952</v>
      </c>
      <c r="C70" s="9"/>
      <c r="D70" s="9" t="s">
        <v>953</v>
      </c>
      <c r="E70" s="40" t="s">
        <v>969</v>
      </c>
      <c r="F70" s="9" t="s">
        <v>954</v>
      </c>
      <c r="G70" s="9" t="s">
        <v>193</v>
      </c>
      <c r="H70" s="78">
        <v>36498</v>
      </c>
    </row>
    <row r="71" spans="1:8" ht="31" x14ac:dyDescent="0.35">
      <c r="A71" s="6" t="s">
        <v>364</v>
      </c>
      <c r="B71" s="9" t="s">
        <v>955</v>
      </c>
      <c r="C71" s="9"/>
      <c r="D71" s="9" t="s">
        <v>956</v>
      </c>
      <c r="E71" s="40" t="s">
        <v>971</v>
      </c>
      <c r="F71" s="9" t="s">
        <v>1107</v>
      </c>
      <c r="G71" s="9" t="s">
        <v>193</v>
      </c>
      <c r="H71" s="78">
        <v>44489</v>
      </c>
    </row>
    <row r="72" spans="1:8" ht="31" x14ac:dyDescent="0.35">
      <c r="A72" s="6" t="s">
        <v>365</v>
      </c>
      <c r="B72" s="9" t="s">
        <v>957</v>
      </c>
      <c r="C72" s="9"/>
      <c r="D72" s="9" t="s">
        <v>958</v>
      </c>
      <c r="E72" s="40" t="s">
        <v>972</v>
      </c>
      <c r="F72" s="9" t="s">
        <v>959</v>
      </c>
      <c r="G72" s="9" t="s">
        <v>193</v>
      </c>
      <c r="H72" s="78">
        <v>38377</v>
      </c>
    </row>
    <row r="73" spans="1:8" ht="31" x14ac:dyDescent="0.35">
      <c r="A73" s="6" t="s">
        <v>366</v>
      </c>
      <c r="B73" s="9" t="s">
        <v>960</v>
      </c>
      <c r="C73" s="9"/>
      <c r="D73" s="9" t="s">
        <v>961</v>
      </c>
      <c r="E73" s="40" t="s">
        <v>973</v>
      </c>
      <c r="F73" s="9" t="s">
        <v>1108</v>
      </c>
      <c r="G73" s="9" t="s">
        <v>209</v>
      </c>
      <c r="H73" s="78">
        <v>39568</v>
      </c>
    </row>
  </sheetData>
  <phoneticPr fontId="3" type="noConversion"/>
  <hyperlinks>
    <hyperlink ref="D2" r:id="rId1" xr:uid="{E00E28B1-AC3A-417F-9543-BEDD308CD6DA}"/>
    <hyperlink ref="D3" r:id="rId2" xr:uid="{3BFA1B39-7F08-4E6E-9396-BEC025D5CEAD}"/>
    <hyperlink ref="D4" r:id="rId3" xr:uid="{A63DA039-D3C7-4647-96E8-4CE290121FA9}"/>
    <hyperlink ref="D6" r:id="rId4" xr:uid="{7D901843-B83E-4401-A1A6-8A070FD7DEFA}"/>
    <hyperlink ref="D7" r:id="rId5" xr:uid="{7B58591B-312F-4066-87A0-D723BEA08519}"/>
    <hyperlink ref="D9" r:id="rId6" xr:uid="{2E71CAAE-C70A-466E-8382-23C295350619}"/>
    <hyperlink ref="D10" r:id="rId7" xr:uid="{F5BC06B9-D75E-4324-B6D5-BB59C9502AB7}"/>
    <hyperlink ref="D34" r:id="rId8" xr:uid="{13F356A5-3EA0-4347-B96F-18D3F4769F38}"/>
    <hyperlink ref="D33" r:id="rId9" xr:uid="{718094D1-E1FC-4955-AE05-4FC1239BC09A}"/>
    <hyperlink ref="D32" r:id="rId10" xr:uid="{0FD5A939-49AA-484B-8129-62BC8266475A}"/>
    <hyperlink ref="D31" r:id="rId11" xr:uid="{70E84B50-AF52-4D35-9F14-8C5543F12CEC}"/>
    <hyperlink ref="D30" r:id="rId12" xr:uid="{3229B243-FD55-4286-BFAD-7989CE803C50}"/>
    <hyperlink ref="D29" r:id="rId13" xr:uid="{2CC04214-6426-4D85-A75F-FC96870D6EB5}"/>
    <hyperlink ref="D28" r:id="rId14" xr:uid="{AF18082A-569E-480B-AE42-CC2270CB6900}"/>
    <hyperlink ref="D14" r:id="rId15" xr:uid="{80279C68-5F23-4AEC-B07A-2C870E4A0D03}"/>
    <hyperlink ref="D15" r:id="rId16" xr:uid="{12BBF7F6-C6EE-4146-8D65-9781D16110DC}"/>
    <hyperlink ref="D16" r:id="rId17" xr:uid="{0F42D715-D5C0-4137-A7C5-7460D1A86FC3}"/>
    <hyperlink ref="D38" r:id="rId18" xr:uid="{F1B78163-BD49-41F1-9B5E-E1C00328E761}"/>
    <hyperlink ref="D52" r:id="rId19" xr:uid="{0FB80D10-9B2C-4792-807B-3663D062A16B}"/>
    <hyperlink ref="D54" r:id="rId20" xr:uid="{AA2A3217-D1FE-45E9-AD9D-D99C90598EAA}"/>
    <hyperlink ref="D58" r:id="rId21" xr:uid="{EF26C464-1261-4244-8142-FC180DC5179F}"/>
    <hyperlink ref="D53" r:id="rId22" xr:uid="{E60A952E-1979-4DFF-8BE7-1BAF0BE16167}"/>
    <hyperlink ref="D55" r:id="rId23" xr:uid="{FEEDFE59-E186-418E-8F50-D2264C3A8D2B}"/>
    <hyperlink ref="D56" r:id="rId24" xr:uid="{40B6E100-CA39-465F-9886-FF1EA7BB4033}"/>
    <hyperlink ref="D57" r:id="rId25" xr:uid="{4986604C-F919-4BBB-9797-A9BD8EF7B0C2}"/>
    <hyperlink ref="D61" r:id="rId26" xr:uid="{AA95E5A1-18B2-4B17-A63D-270525D1D3F2}"/>
    <hyperlink ref="D19" r:id="rId27" xr:uid="{5624A29E-6372-46B3-B0F1-46A44030B119}"/>
    <hyperlink ref="D20" r:id="rId28" xr:uid="{DDAA5B1E-C4E3-47E1-B672-4A63A6CE9965}"/>
    <hyperlink ref="D21" r:id="rId29" xr:uid="{728DD797-7667-4042-AE32-EA3D8D77E920}"/>
    <hyperlink ref="D22" r:id="rId30" xr:uid="{18CB1FD8-C30F-4445-B8AC-6820CEF6E831}"/>
    <hyperlink ref="D17" r:id="rId31" xr:uid="{2AFA3663-9CDF-48CE-9D51-F522E179C642}"/>
    <hyperlink ref="D11" r:id="rId32" xr:uid="{5537A170-0DD6-4820-8989-81EC0FBBE62C}"/>
    <hyperlink ref="D12" r:id="rId33" xr:uid="{FB2AAFEE-EA36-4CD2-A826-2E5D08E7B0A8}"/>
    <hyperlink ref="D39" r:id="rId34" xr:uid="{D32AF60F-9458-4EE8-8112-AE3286CB4EE6}"/>
    <hyperlink ref="D40" r:id="rId35" xr:uid="{1E971F2C-8B32-4941-8750-67B022B5B2B7}"/>
    <hyperlink ref="D41" r:id="rId36" xr:uid="{530318B1-8648-4FB6-B044-E4B218EAF70D}"/>
    <hyperlink ref="D44" r:id="rId37" xr:uid="{81ACEA25-76FC-40C6-A846-DAF589F9AE61}"/>
    <hyperlink ref="D45" r:id="rId38" xr:uid="{EEDC7476-7EB2-497C-A567-72E0846B2E87}"/>
    <hyperlink ref="D46" r:id="rId39" xr:uid="{DC47130F-E15D-4BE6-90EA-34497965037C}"/>
    <hyperlink ref="D47" r:id="rId40" xr:uid="{E110C56A-0BE1-4452-8E3C-CDECF158D2E0}"/>
    <hyperlink ref="D48" r:id="rId41" xr:uid="{D80E361D-E63C-4164-87DD-FE732AAFA937}"/>
    <hyperlink ref="D62" r:id="rId42" xr:uid="{2AEC91DB-4139-4725-8F53-50C2E11F963A}"/>
    <hyperlink ref="D63" r:id="rId43" xr:uid="{CE322AAD-B0B0-4749-917D-86F02A0963F4}"/>
  </hyperlinks>
  <pageMargins left="0.7" right="0.7" top="0.75" bottom="0.75" header="0.3" footer="0.3"/>
  <pageSetup orientation="portrait" r:id="rId44"/>
  <ignoredErrors>
    <ignoredError sqref="E2 E5:E9 E3:E4 E37:E49 E60:E61 E54:E59 E51:E53 E50 E10:E36 E62:E7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FDE0-8EE0-460E-B0F5-D893D5C83B9A}">
  <dimension ref="A1:C7"/>
  <sheetViews>
    <sheetView zoomScale="160" workbookViewId="0">
      <selection sqref="A1:C7"/>
    </sheetView>
  </sheetViews>
  <sheetFormatPr defaultRowHeight="14.5" x14ac:dyDescent="0.35"/>
  <cols>
    <col min="2" max="2" width="24.26953125" customWidth="1"/>
    <col min="3" max="3" width="20.7265625" bestFit="1" customWidth="1"/>
  </cols>
  <sheetData>
    <row r="1" spans="1:3" x14ac:dyDescent="0.35">
      <c r="A1" s="2" t="s">
        <v>219</v>
      </c>
      <c r="B1" s="2" t="s">
        <v>162</v>
      </c>
      <c r="C1" s="2" t="s">
        <v>163</v>
      </c>
    </row>
    <row r="2" spans="1:3" x14ac:dyDescent="0.35">
      <c r="A2" s="14" t="s">
        <v>220</v>
      </c>
      <c r="B2" s="14" t="s">
        <v>224</v>
      </c>
      <c r="C2" s="14" t="s">
        <v>193</v>
      </c>
    </row>
    <row r="3" spans="1:3" x14ac:dyDescent="0.35">
      <c r="A3" s="14" t="s">
        <v>222</v>
      </c>
      <c r="B3" s="14" t="s">
        <v>165</v>
      </c>
      <c r="C3" s="14" t="s">
        <v>194</v>
      </c>
    </row>
    <row r="4" spans="1:3" x14ac:dyDescent="0.35">
      <c r="A4" s="14" t="s">
        <v>223</v>
      </c>
      <c r="B4" s="14" t="s">
        <v>183</v>
      </c>
      <c r="C4" s="14" t="s">
        <v>206</v>
      </c>
    </row>
    <row r="5" spans="1:3" ht="14.5" customHeight="1" x14ac:dyDescent="0.35">
      <c r="A5" s="14" t="s">
        <v>225</v>
      </c>
      <c r="B5" s="15" t="s">
        <v>172</v>
      </c>
      <c r="C5" s="14" t="s">
        <v>198</v>
      </c>
    </row>
    <row r="6" spans="1:3" x14ac:dyDescent="0.35">
      <c r="A6" s="14" t="s">
        <v>226</v>
      </c>
      <c r="B6" s="14" t="s">
        <v>221</v>
      </c>
      <c r="C6" s="14" t="s">
        <v>193</v>
      </c>
    </row>
    <row r="7" spans="1:3" x14ac:dyDescent="0.35">
      <c r="A7" s="14" t="s">
        <v>227</v>
      </c>
      <c r="B7" s="14" t="s">
        <v>168</v>
      </c>
      <c r="C7" s="14" t="s">
        <v>197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E957-CCAC-4A30-A19E-4074E3FD4A5F}">
  <dimension ref="A1:E30"/>
  <sheetViews>
    <sheetView topLeftCell="A25" zoomScale="115" zoomScaleNormal="115" workbookViewId="0">
      <selection activeCell="C18" sqref="C18"/>
    </sheetView>
  </sheetViews>
  <sheetFormatPr defaultRowHeight="14.5" x14ac:dyDescent="0.35"/>
  <cols>
    <col min="2" max="2" width="23.453125" customWidth="1"/>
    <col min="3" max="3" width="15.08984375" customWidth="1"/>
    <col min="4" max="4" width="10.1796875" customWidth="1"/>
  </cols>
  <sheetData>
    <row r="1" spans="1:5" x14ac:dyDescent="0.35">
      <c r="A1" s="2" t="s">
        <v>241</v>
      </c>
      <c r="B1" s="2" t="s">
        <v>242</v>
      </c>
      <c r="C1" s="2" t="s">
        <v>161</v>
      </c>
      <c r="D1" s="2" t="s">
        <v>219</v>
      </c>
      <c r="E1" s="41" t="s">
        <v>935</v>
      </c>
    </row>
    <row r="2" spans="1:5" x14ac:dyDescent="0.35">
      <c r="A2" s="16" t="s">
        <v>376</v>
      </c>
      <c r="B2" s="16" t="s">
        <v>243</v>
      </c>
      <c r="C2" s="17" t="s">
        <v>268</v>
      </c>
      <c r="D2" s="16" t="s">
        <v>220</v>
      </c>
      <c r="E2" s="29" t="s">
        <v>974</v>
      </c>
    </row>
    <row r="3" spans="1:5" x14ac:dyDescent="0.35">
      <c r="A3" s="16" t="s">
        <v>377</v>
      </c>
      <c r="B3" s="16" t="s">
        <v>244</v>
      </c>
      <c r="C3" s="17" t="s">
        <v>269</v>
      </c>
      <c r="D3" s="16" t="s">
        <v>220</v>
      </c>
      <c r="E3" s="29" t="s">
        <v>974</v>
      </c>
    </row>
    <row r="4" spans="1:5" x14ac:dyDescent="0.35">
      <c r="A4" s="16" t="s">
        <v>378</v>
      </c>
      <c r="B4" s="16" t="s">
        <v>245</v>
      </c>
      <c r="C4" s="17" t="s">
        <v>270</v>
      </c>
      <c r="D4" s="16" t="s">
        <v>220</v>
      </c>
      <c r="E4" s="29" t="s">
        <v>974</v>
      </c>
    </row>
    <row r="5" spans="1:5" ht="14.5" customHeight="1" x14ac:dyDescent="0.35">
      <c r="A5" s="16" t="s">
        <v>379</v>
      </c>
      <c r="B5" s="16" t="s">
        <v>976</v>
      </c>
      <c r="C5" s="17" t="s">
        <v>977</v>
      </c>
      <c r="D5" s="16" t="s">
        <v>220</v>
      </c>
      <c r="E5" s="29" t="s">
        <v>975</v>
      </c>
    </row>
    <row r="6" spans="1:5" x14ac:dyDescent="0.35">
      <c r="A6" s="16" t="s">
        <v>380</v>
      </c>
      <c r="B6" s="16" t="s">
        <v>978</v>
      </c>
      <c r="C6" s="17" t="s">
        <v>979</v>
      </c>
      <c r="D6" s="16" t="s">
        <v>220</v>
      </c>
      <c r="E6" s="29" t="s">
        <v>975</v>
      </c>
    </row>
    <row r="7" spans="1:5" x14ac:dyDescent="0.35">
      <c r="A7" s="16" t="s">
        <v>381</v>
      </c>
      <c r="B7" s="16" t="s">
        <v>980</v>
      </c>
      <c r="C7" s="17" t="s">
        <v>981</v>
      </c>
      <c r="D7" s="16" t="s">
        <v>220</v>
      </c>
      <c r="E7" s="29" t="s">
        <v>975</v>
      </c>
    </row>
    <row r="8" spans="1:5" x14ac:dyDescent="0.35">
      <c r="A8" s="16" t="s">
        <v>382</v>
      </c>
      <c r="B8" s="16" t="s">
        <v>982</v>
      </c>
      <c r="C8" s="17" t="s">
        <v>983</v>
      </c>
      <c r="D8" s="16" t="s">
        <v>220</v>
      </c>
      <c r="E8" s="29" t="s">
        <v>975</v>
      </c>
    </row>
    <row r="9" spans="1:5" x14ac:dyDescent="0.35">
      <c r="A9" s="16" t="s">
        <v>383</v>
      </c>
      <c r="B9" s="16" t="s">
        <v>246</v>
      </c>
      <c r="C9" s="17" t="s">
        <v>271</v>
      </c>
      <c r="D9" s="16" t="s">
        <v>222</v>
      </c>
      <c r="E9" s="29" t="s">
        <v>975</v>
      </c>
    </row>
    <row r="10" spans="1:5" x14ac:dyDescent="0.35">
      <c r="A10" s="16" t="s">
        <v>384</v>
      </c>
      <c r="B10" s="16" t="s">
        <v>247</v>
      </c>
      <c r="C10" s="17" t="s">
        <v>272</v>
      </c>
      <c r="D10" s="16" t="s">
        <v>222</v>
      </c>
      <c r="E10" s="29" t="s">
        <v>975</v>
      </c>
    </row>
    <row r="11" spans="1:5" x14ac:dyDescent="0.35">
      <c r="A11" s="16" t="s">
        <v>385</v>
      </c>
      <c r="B11" s="16" t="s">
        <v>248</v>
      </c>
      <c r="C11" s="17" t="s">
        <v>273</v>
      </c>
      <c r="D11" s="16" t="s">
        <v>222</v>
      </c>
      <c r="E11" s="29" t="s">
        <v>975</v>
      </c>
    </row>
    <row r="12" spans="1:5" x14ac:dyDescent="0.35">
      <c r="A12" s="16" t="s">
        <v>386</v>
      </c>
      <c r="B12" s="16" t="s">
        <v>249</v>
      </c>
      <c r="C12" s="17" t="s">
        <v>274</v>
      </c>
      <c r="D12" s="16" t="s">
        <v>222</v>
      </c>
      <c r="E12" s="29" t="s">
        <v>975</v>
      </c>
    </row>
    <row r="13" spans="1:5" x14ac:dyDescent="0.35">
      <c r="A13" s="16" t="s">
        <v>387</v>
      </c>
      <c r="B13" s="16" t="s">
        <v>250</v>
      </c>
      <c r="C13" s="17" t="s">
        <v>275</v>
      </c>
      <c r="D13" s="16" t="s">
        <v>223</v>
      </c>
      <c r="E13" s="29" t="s">
        <v>975</v>
      </c>
    </row>
    <row r="14" spans="1:5" x14ac:dyDescent="0.35">
      <c r="A14" s="16" t="s">
        <v>388</v>
      </c>
      <c r="B14" s="16" t="s">
        <v>251</v>
      </c>
      <c r="C14" s="17" t="s">
        <v>276</v>
      </c>
      <c r="D14" s="16" t="s">
        <v>223</v>
      </c>
      <c r="E14" s="29" t="s">
        <v>975</v>
      </c>
    </row>
    <row r="15" spans="1:5" x14ac:dyDescent="0.35">
      <c r="A15" s="16" t="s">
        <v>389</v>
      </c>
      <c r="B15" s="16" t="s">
        <v>252</v>
      </c>
      <c r="C15" s="17" t="s">
        <v>277</v>
      </c>
      <c r="D15" s="16" t="s">
        <v>223</v>
      </c>
      <c r="E15" s="29" t="s">
        <v>975</v>
      </c>
    </row>
    <row r="16" spans="1:5" x14ac:dyDescent="0.35">
      <c r="A16" s="16" t="s">
        <v>390</v>
      </c>
      <c r="B16" s="16" t="s">
        <v>253</v>
      </c>
      <c r="C16" s="17" t="s">
        <v>278</v>
      </c>
      <c r="D16" s="16" t="s">
        <v>225</v>
      </c>
      <c r="E16" s="29" t="s">
        <v>975</v>
      </c>
    </row>
    <row r="17" spans="1:5" x14ac:dyDescent="0.35">
      <c r="A17" s="16" t="s">
        <v>391</v>
      </c>
      <c r="B17" s="16" t="s">
        <v>254</v>
      </c>
      <c r="C17" s="17" t="s">
        <v>279</v>
      </c>
      <c r="D17" s="16" t="s">
        <v>225</v>
      </c>
      <c r="E17" s="29" t="s">
        <v>975</v>
      </c>
    </row>
    <row r="18" spans="1:5" x14ac:dyDescent="0.35">
      <c r="A18" s="16" t="s">
        <v>392</v>
      </c>
      <c r="B18" s="16" t="s">
        <v>255</v>
      </c>
      <c r="C18" s="17" t="s">
        <v>280</v>
      </c>
      <c r="D18" s="16" t="s">
        <v>225</v>
      </c>
      <c r="E18" s="29" t="s">
        <v>975</v>
      </c>
    </row>
    <row r="19" spans="1:5" x14ac:dyDescent="0.35">
      <c r="A19" s="16" t="s">
        <v>393</v>
      </c>
      <c r="B19" s="16" t="s">
        <v>256</v>
      </c>
      <c r="C19" s="17" t="s">
        <v>281</v>
      </c>
      <c r="D19" s="16" t="s">
        <v>225</v>
      </c>
      <c r="E19" s="29" t="s">
        <v>975</v>
      </c>
    </row>
    <row r="20" spans="1:5" x14ac:dyDescent="0.35">
      <c r="A20" s="16" t="s">
        <v>394</v>
      </c>
      <c r="B20" s="16" t="s">
        <v>257</v>
      </c>
      <c r="C20" s="17" t="s">
        <v>282</v>
      </c>
      <c r="D20" s="16" t="s">
        <v>225</v>
      </c>
      <c r="E20" s="29" t="s">
        <v>975</v>
      </c>
    </row>
    <row r="21" spans="1:5" x14ac:dyDescent="0.35">
      <c r="A21" s="16" t="s">
        <v>395</v>
      </c>
      <c r="B21" s="16" t="s">
        <v>258</v>
      </c>
      <c r="C21" s="17" t="s">
        <v>283</v>
      </c>
      <c r="D21" s="16" t="s">
        <v>226</v>
      </c>
      <c r="E21" s="29" t="s">
        <v>975</v>
      </c>
    </row>
    <row r="22" spans="1:5" x14ac:dyDescent="0.35">
      <c r="A22" s="16" t="s">
        <v>396</v>
      </c>
      <c r="B22" s="16" t="s">
        <v>259</v>
      </c>
      <c r="C22" s="17" t="s">
        <v>284</v>
      </c>
      <c r="D22" s="16" t="s">
        <v>226</v>
      </c>
      <c r="E22" s="29" t="s">
        <v>975</v>
      </c>
    </row>
    <row r="23" spans="1:5" x14ac:dyDescent="0.35">
      <c r="A23" s="16" t="s">
        <v>397</v>
      </c>
      <c r="B23" s="16" t="s">
        <v>260</v>
      </c>
      <c r="C23" s="17" t="s">
        <v>285</v>
      </c>
      <c r="D23" s="16" t="s">
        <v>226</v>
      </c>
      <c r="E23" s="29" t="s">
        <v>975</v>
      </c>
    </row>
    <row r="24" spans="1:5" x14ac:dyDescent="0.35">
      <c r="A24" s="16" t="s">
        <v>398</v>
      </c>
      <c r="B24" s="16" t="s">
        <v>261</v>
      </c>
      <c r="C24" s="17" t="s">
        <v>286</v>
      </c>
      <c r="D24" s="16" t="s">
        <v>226</v>
      </c>
      <c r="E24" s="29" t="s">
        <v>975</v>
      </c>
    </row>
    <row r="25" spans="1:5" x14ac:dyDescent="0.35">
      <c r="A25" s="16" t="s">
        <v>399</v>
      </c>
      <c r="B25" s="16" t="s">
        <v>262</v>
      </c>
      <c r="C25" s="17" t="s">
        <v>287</v>
      </c>
      <c r="D25" s="16" t="s">
        <v>227</v>
      </c>
      <c r="E25" s="29" t="s">
        <v>975</v>
      </c>
    </row>
    <row r="26" spans="1:5" x14ac:dyDescent="0.35">
      <c r="A26" s="16" t="s">
        <v>400</v>
      </c>
      <c r="B26" s="16" t="s">
        <v>263</v>
      </c>
      <c r="C26" s="17" t="s">
        <v>288</v>
      </c>
      <c r="D26" s="16" t="s">
        <v>227</v>
      </c>
      <c r="E26" s="29" t="s">
        <v>975</v>
      </c>
    </row>
    <row r="27" spans="1:5" x14ac:dyDescent="0.35">
      <c r="A27" s="16" t="s">
        <v>984</v>
      </c>
      <c r="B27" s="16" t="s">
        <v>264</v>
      </c>
      <c r="C27" s="17" t="s">
        <v>289</v>
      </c>
      <c r="D27" s="16" t="s">
        <v>227</v>
      </c>
      <c r="E27" s="29" t="s">
        <v>975</v>
      </c>
    </row>
    <row r="28" spans="1:5" x14ac:dyDescent="0.35">
      <c r="A28" s="16" t="s">
        <v>985</v>
      </c>
      <c r="B28" s="16" t="s">
        <v>265</v>
      </c>
      <c r="C28" s="17" t="s">
        <v>290</v>
      </c>
      <c r="D28" s="16" t="s">
        <v>227</v>
      </c>
      <c r="E28" s="29" t="s">
        <v>975</v>
      </c>
    </row>
    <row r="29" spans="1:5" x14ac:dyDescent="0.35">
      <c r="A29" s="16" t="s">
        <v>986</v>
      </c>
      <c r="B29" s="16" t="s">
        <v>266</v>
      </c>
      <c r="C29" s="17" t="s">
        <v>291</v>
      </c>
      <c r="D29" s="16" t="s">
        <v>227</v>
      </c>
      <c r="E29" s="29" t="s">
        <v>975</v>
      </c>
    </row>
    <row r="30" spans="1:5" x14ac:dyDescent="0.35">
      <c r="A30" s="16" t="s">
        <v>987</v>
      </c>
      <c r="B30" s="16" t="s">
        <v>267</v>
      </c>
      <c r="C30" s="17" t="s">
        <v>292</v>
      </c>
      <c r="D30" s="16" t="s">
        <v>227</v>
      </c>
      <c r="E30" s="29" t="s">
        <v>975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695B-7C42-4CBB-8061-BCE84B3F85D8}">
  <dimension ref="A1:B10"/>
  <sheetViews>
    <sheetView workbookViewId="0">
      <selection activeCell="E25" sqref="E25"/>
    </sheetView>
  </sheetViews>
  <sheetFormatPr defaultRowHeight="14.5" x14ac:dyDescent="0.35"/>
  <cols>
    <col min="1" max="1" width="11" bestFit="1" customWidth="1"/>
    <col min="2" max="2" width="28.1796875" bestFit="1" customWidth="1"/>
  </cols>
  <sheetData>
    <row r="1" spans="1:2" x14ac:dyDescent="0.35">
      <c r="A1" s="2" t="s">
        <v>229</v>
      </c>
      <c r="B1" s="2" t="s">
        <v>230</v>
      </c>
    </row>
    <row r="2" spans="1:2" x14ac:dyDescent="0.35">
      <c r="A2" s="14" t="s">
        <v>367</v>
      </c>
      <c r="B2" s="14" t="s">
        <v>231</v>
      </c>
    </row>
    <row r="3" spans="1:2" x14ac:dyDescent="0.35">
      <c r="A3" s="14" t="s">
        <v>368</v>
      </c>
      <c r="B3" s="14" t="s">
        <v>235</v>
      </c>
    </row>
    <row r="4" spans="1:2" x14ac:dyDescent="0.35">
      <c r="A4" s="14" t="s">
        <v>369</v>
      </c>
      <c r="B4" s="14" t="s">
        <v>447</v>
      </c>
    </row>
    <row r="5" spans="1:2" x14ac:dyDescent="0.35">
      <c r="A5" s="14" t="s">
        <v>370</v>
      </c>
      <c r="B5" s="14" t="s">
        <v>232</v>
      </c>
    </row>
    <row r="6" spans="1:2" x14ac:dyDescent="0.35">
      <c r="A6" s="14" t="s">
        <v>371</v>
      </c>
      <c r="B6" s="14" t="s">
        <v>236</v>
      </c>
    </row>
    <row r="7" spans="1:2" x14ac:dyDescent="0.35">
      <c r="A7" s="14" t="s">
        <v>372</v>
      </c>
      <c r="B7" s="14" t="s">
        <v>237</v>
      </c>
    </row>
    <row r="8" spans="1:2" x14ac:dyDescent="0.35">
      <c r="A8" s="14" t="s">
        <v>373</v>
      </c>
      <c r="B8" s="14" t="s">
        <v>239</v>
      </c>
    </row>
    <row r="9" spans="1:2" x14ac:dyDescent="0.35">
      <c r="A9" s="14" t="s">
        <v>374</v>
      </c>
      <c r="B9" s="14" t="s">
        <v>238</v>
      </c>
    </row>
    <row r="10" spans="1:2" x14ac:dyDescent="0.35">
      <c r="A10" s="14" t="s">
        <v>375</v>
      </c>
      <c r="B10" s="14" t="s">
        <v>240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A94D-BFE1-4D57-8AF6-F3C93D16ED09}">
  <dimension ref="A1:I305"/>
  <sheetViews>
    <sheetView topLeftCell="A254" zoomScale="97" workbookViewId="0">
      <selection activeCell="J13" sqref="J13"/>
    </sheetView>
  </sheetViews>
  <sheetFormatPr defaultRowHeight="14.5" x14ac:dyDescent="0.35"/>
  <cols>
    <col min="1" max="1" width="10.26953125" customWidth="1"/>
    <col min="2" max="2" width="9.81640625" bestFit="1" customWidth="1"/>
    <col min="3" max="3" width="43.6328125" bestFit="1" customWidth="1"/>
    <col min="4" max="4" width="10.1796875" customWidth="1"/>
    <col min="5" max="5" width="14.6328125" bestFit="1" customWidth="1"/>
    <col min="6" max="6" width="13.36328125" bestFit="1" customWidth="1"/>
    <col min="8" max="8" width="12.81640625" customWidth="1"/>
    <col min="9" max="9" width="12.36328125" customWidth="1"/>
    <col min="10" max="10" width="12.7265625" bestFit="1" customWidth="1"/>
    <col min="11" max="11" width="21.6328125" customWidth="1"/>
    <col min="12" max="12" width="11.7265625" bestFit="1" customWidth="1"/>
    <col min="13" max="13" width="23.453125" customWidth="1"/>
    <col min="14" max="14" width="16.6328125" bestFit="1" customWidth="1"/>
  </cols>
  <sheetData>
    <row r="1" spans="1:9" x14ac:dyDescent="0.35">
      <c r="A1" s="2" t="s">
        <v>228</v>
      </c>
      <c r="B1" s="2" t="s">
        <v>234</v>
      </c>
      <c r="C1" s="2" t="s">
        <v>233</v>
      </c>
      <c r="D1" s="2" t="s">
        <v>401</v>
      </c>
      <c r="E1" s="2" t="s">
        <v>402</v>
      </c>
      <c r="F1" s="2" t="s">
        <v>10</v>
      </c>
      <c r="G1" s="2" t="s">
        <v>403</v>
      </c>
      <c r="H1" s="2" t="s">
        <v>404</v>
      </c>
      <c r="I1" s="2" t="s">
        <v>405</v>
      </c>
    </row>
    <row r="2" spans="1:9" x14ac:dyDescent="0.35">
      <c r="A2" s="35" t="s">
        <v>462</v>
      </c>
      <c r="B2" s="35" t="s">
        <v>355</v>
      </c>
      <c r="C2" s="35" t="s">
        <v>7</v>
      </c>
      <c r="D2" s="35" t="s">
        <v>368</v>
      </c>
      <c r="E2" s="35" t="s">
        <v>8</v>
      </c>
      <c r="F2" s="35" t="s">
        <v>31</v>
      </c>
      <c r="G2" s="35">
        <v>324</v>
      </c>
      <c r="H2" s="36">
        <v>120000</v>
      </c>
      <c r="I2" s="36">
        <v>250000</v>
      </c>
    </row>
    <row r="3" spans="1:9" x14ac:dyDescent="0.35">
      <c r="A3" s="35" t="s">
        <v>463</v>
      </c>
      <c r="B3" s="35" t="s">
        <v>355</v>
      </c>
      <c r="C3" s="35" t="s">
        <v>7</v>
      </c>
      <c r="D3" s="35" t="s">
        <v>368</v>
      </c>
      <c r="E3" s="35" t="s">
        <v>8</v>
      </c>
      <c r="F3" s="35" t="s">
        <v>20</v>
      </c>
      <c r="G3" s="35">
        <v>549</v>
      </c>
      <c r="H3" s="36">
        <v>120000</v>
      </c>
      <c r="I3" s="36">
        <v>250000</v>
      </c>
    </row>
    <row r="4" spans="1:9" x14ac:dyDescent="0.35">
      <c r="A4" s="35" t="s">
        <v>464</v>
      </c>
      <c r="B4" s="35" t="s">
        <v>355</v>
      </c>
      <c r="C4" s="35" t="s">
        <v>7</v>
      </c>
      <c r="D4" s="35" t="s">
        <v>368</v>
      </c>
      <c r="E4" s="35" t="s">
        <v>8</v>
      </c>
      <c r="F4" s="35" t="s">
        <v>11</v>
      </c>
      <c r="G4" s="35">
        <v>372</v>
      </c>
      <c r="H4" s="36">
        <v>120000</v>
      </c>
      <c r="I4" s="36">
        <v>250000</v>
      </c>
    </row>
    <row r="5" spans="1:9" x14ac:dyDescent="0.35">
      <c r="A5" s="35" t="s">
        <v>465</v>
      </c>
      <c r="B5" s="35" t="s">
        <v>355</v>
      </c>
      <c r="C5" s="35" t="s">
        <v>7</v>
      </c>
      <c r="D5" s="35" t="s">
        <v>368</v>
      </c>
      <c r="E5" s="35" t="s">
        <v>8</v>
      </c>
      <c r="F5" s="35" t="s">
        <v>15</v>
      </c>
      <c r="G5" s="35">
        <v>606</v>
      </c>
      <c r="H5" s="36">
        <v>120000</v>
      </c>
      <c r="I5" s="36">
        <v>250000</v>
      </c>
    </row>
    <row r="6" spans="1:9" x14ac:dyDescent="0.35">
      <c r="A6" s="35" t="s">
        <v>466</v>
      </c>
      <c r="B6" s="35" t="s">
        <v>355</v>
      </c>
      <c r="C6" s="37" t="s">
        <v>421</v>
      </c>
      <c r="D6" s="35" t="s">
        <v>368</v>
      </c>
      <c r="E6" s="37" t="s">
        <v>13</v>
      </c>
      <c r="F6" s="37" t="s">
        <v>20</v>
      </c>
      <c r="G6" s="35">
        <v>394</v>
      </c>
      <c r="H6" s="36">
        <v>90000</v>
      </c>
      <c r="I6" s="36">
        <v>200000</v>
      </c>
    </row>
    <row r="7" spans="1:9" x14ac:dyDescent="0.35">
      <c r="A7" s="35" t="s">
        <v>467</v>
      </c>
      <c r="B7" s="35" t="s">
        <v>355</v>
      </c>
      <c r="C7" s="37" t="s">
        <v>421</v>
      </c>
      <c r="D7" s="35" t="s">
        <v>368</v>
      </c>
      <c r="E7" s="37" t="s">
        <v>13</v>
      </c>
      <c r="F7" s="37" t="s">
        <v>11</v>
      </c>
      <c r="G7" s="35">
        <v>347</v>
      </c>
      <c r="H7" s="36">
        <v>90000</v>
      </c>
      <c r="I7" s="36">
        <v>200000</v>
      </c>
    </row>
    <row r="8" spans="1:9" x14ac:dyDescent="0.35">
      <c r="A8" s="35" t="s">
        <v>468</v>
      </c>
      <c r="B8" s="35" t="s">
        <v>355</v>
      </c>
      <c r="C8" s="37" t="s">
        <v>421</v>
      </c>
      <c r="D8" s="35" t="s">
        <v>368</v>
      </c>
      <c r="E8" s="37" t="s">
        <v>13</v>
      </c>
      <c r="F8" s="37" t="s">
        <v>15</v>
      </c>
      <c r="G8" s="35">
        <v>564</v>
      </c>
      <c r="H8" s="36">
        <v>90000</v>
      </c>
      <c r="I8" s="36">
        <v>200000</v>
      </c>
    </row>
    <row r="9" spans="1:9" x14ac:dyDescent="0.35">
      <c r="A9" s="35" t="s">
        <v>469</v>
      </c>
      <c r="B9" s="35" t="s">
        <v>355</v>
      </c>
      <c r="C9" s="37" t="s">
        <v>421</v>
      </c>
      <c r="D9" s="35" t="s">
        <v>368</v>
      </c>
      <c r="E9" s="37" t="s">
        <v>13</v>
      </c>
      <c r="F9" s="37" t="s">
        <v>12</v>
      </c>
      <c r="G9" s="35">
        <v>713</v>
      </c>
      <c r="H9" s="36">
        <v>90000</v>
      </c>
      <c r="I9" s="36">
        <v>200000</v>
      </c>
    </row>
    <row r="10" spans="1:9" x14ac:dyDescent="0.35">
      <c r="A10" s="35" t="s">
        <v>470</v>
      </c>
      <c r="B10" s="35" t="s">
        <v>355</v>
      </c>
      <c r="C10" s="37" t="s">
        <v>421</v>
      </c>
      <c r="D10" s="35" t="s">
        <v>368</v>
      </c>
      <c r="E10" s="37" t="s">
        <v>13</v>
      </c>
      <c r="F10" s="37" t="s">
        <v>19</v>
      </c>
      <c r="G10" s="35">
        <v>340</v>
      </c>
      <c r="H10" s="36">
        <v>90000</v>
      </c>
      <c r="I10" s="36">
        <v>200000</v>
      </c>
    </row>
    <row r="11" spans="1:9" x14ac:dyDescent="0.35">
      <c r="A11" s="35" t="s">
        <v>471</v>
      </c>
      <c r="B11" s="35" t="s">
        <v>355</v>
      </c>
      <c r="C11" s="37" t="s">
        <v>421</v>
      </c>
      <c r="D11" s="35" t="s">
        <v>368</v>
      </c>
      <c r="E11" s="37" t="s">
        <v>434</v>
      </c>
      <c r="F11" s="37" t="s">
        <v>20</v>
      </c>
      <c r="G11" s="35">
        <v>59</v>
      </c>
      <c r="H11" s="36">
        <v>90000</v>
      </c>
      <c r="I11" s="36">
        <v>200000</v>
      </c>
    </row>
    <row r="12" spans="1:9" x14ac:dyDescent="0.35">
      <c r="A12" s="35" t="s">
        <v>472</v>
      </c>
      <c r="B12" s="35" t="s">
        <v>355</v>
      </c>
      <c r="C12" s="37" t="s">
        <v>421</v>
      </c>
      <c r="D12" s="35" t="s">
        <v>368</v>
      </c>
      <c r="E12" s="37" t="s">
        <v>434</v>
      </c>
      <c r="F12" s="37" t="s">
        <v>11</v>
      </c>
      <c r="G12" s="35">
        <v>698</v>
      </c>
      <c r="H12" s="36">
        <v>90000</v>
      </c>
      <c r="I12" s="36">
        <v>200000</v>
      </c>
    </row>
    <row r="13" spans="1:9" x14ac:dyDescent="0.35">
      <c r="A13" s="35" t="s">
        <v>473</v>
      </c>
      <c r="B13" s="35" t="s">
        <v>355</v>
      </c>
      <c r="C13" s="37" t="s">
        <v>421</v>
      </c>
      <c r="D13" s="35" t="s">
        <v>368</v>
      </c>
      <c r="E13" s="37" t="s">
        <v>434</v>
      </c>
      <c r="F13" s="37" t="s">
        <v>15</v>
      </c>
      <c r="G13" s="35">
        <v>527</v>
      </c>
      <c r="H13" s="36">
        <v>90000</v>
      </c>
      <c r="I13" s="36">
        <v>200000</v>
      </c>
    </row>
    <row r="14" spans="1:9" x14ac:dyDescent="0.35">
      <c r="A14" s="35" t="s">
        <v>474</v>
      </c>
      <c r="B14" s="35" t="s">
        <v>355</v>
      </c>
      <c r="C14" s="37" t="s">
        <v>421</v>
      </c>
      <c r="D14" s="35" t="s">
        <v>368</v>
      </c>
      <c r="E14" s="37" t="s">
        <v>434</v>
      </c>
      <c r="F14" s="37" t="s">
        <v>12</v>
      </c>
      <c r="G14" s="35">
        <v>468</v>
      </c>
      <c r="H14" s="36">
        <v>90000</v>
      </c>
      <c r="I14" s="36">
        <v>200000</v>
      </c>
    </row>
    <row r="15" spans="1:9" x14ac:dyDescent="0.35">
      <c r="A15" s="35" t="s">
        <v>475</v>
      </c>
      <c r="B15" s="35" t="s">
        <v>355</v>
      </c>
      <c r="C15" s="37" t="s">
        <v>421</v>
      </c>
      <c r="D15" s="35" t="s">
        <v>368</v>
      </c>
      <c r="E15" s="37" t="s">
        <v>434</v>
      </c>
      <c r="F15" s="37" t="s">
        <v>19</v>
      </c>
      <c r="G15" s="35">
        <v>544</v>
      </c>
      <c r="H15" s="36">
        <v>90000</v>
      </c>
      <c r="I15" s="36">
        <v>200000</v>
      </c>
    </row>
    <row r="16" spans="1:9" x14ac:dyDescent="0.35">
      <c r="A16" s="35" t="s">
        <v>476</v>
      </c>
      <c r="B16" s="35" t="s">
        <v>356</v>
      </c>
      <c r="C16" s="37" t="s">
        <v>415</v>
      </c>
      <c r="D16" s="35" t="s">
        <v>368</v>
      </c>
      <c r="E16" s="37" t="s">
        <v>435</v>
      </c>
      <c r="F16" s="37" t="s">
        <v>20</v>
      </c>
      <c r="G16" s="35">
        <v>705</v>
      </c>
      <c r="H16" s="36">
        <v>70000</v>
      </c>
      <c r="I16" s="36">
        <v>180000</v>
      </c>
    </row>
    <row r="17" spans="1:9" x14ac:dyDescent="0.35">
      <c r="A17" s="35" t="s">
        <v>477</v>
      </c>
      <c r="B17" s="35" t="s">
        <v>356</v>
      </c>
      <c r="C17" s="37" t="s">
        <v>415</v>
      </c>
      <c r="D17" s="35" t="s">
        <v>368</v>
      </c>
      <c r="E17" s="37" t="s">
        <v>435</v>
      </c>
      <c r="F17" s="37" t="s">
        <v>11</v>
      </c>
      <c r="G17" s="35">
        <v>377</v>
      </c>
      <c r="H17" s="36">
        <v>70000</v>
      </c>
      <c r="I17" s="36">
        <v>180000</v>
      </c>
    </row>
    <row r="18" spans="1:9" x14ac:dyDescent="0.35">
      <c r="A18" s="35" t="s">
        <v>478</v>
      </c>
      <c r="B18" s="35" t="s">
        <v>356</v>
      </c>
      <c r="C18" s="37" t="s">
        <v>415</v>
      </c>
      <c r="D18" s="35" t="s">
        <v>368</v>
      </c>
      <c r="E18" s="37" t="s">
        <v>435</v>
      </c>
      <c r="F18" s="37" t="s">
        <v>15</v>
      </c>
      <c r="G18" s="35">
        <v>893</v>
      </c>
      <c r="H18" s="36">
        <v>70000</v>
      </c>
      <c r="I18" s="36">
        <v>180000</v>
      </c>
    </row>
    <row r="19" spans="1:9" x14ac:dyDescent="0.35">
      <c r="A19" s="35" t="s">
        <v>479</v>
      </c>
      <c r="B19" s="35" t="s">
        <v>356</v>
      </c>
      <c r="C19" s="37" t="s">
        <v>415</v>
      </c>
      <c r="D19" s="35" t="s">
        <v>368</v>
      </c>
      <c r="E19" s="37" t="s">
        <v>435</v>
      </c>
      <c r="F19" s="37" t="s">
        <v>12</v>
      </c>
      <c r="G19" s="35">
        <v>818</v>
      </c>
      <c r="H19" s="36">
        <v>70000</v>
      </c>
      <c r="I19" s="36">
        <v>180000</v>
      </c>
    </row>
    <row r="20" spans="1:9" x14ac:dyDescent="0.35">
      <c r="A20" s="35" t="s">
        <v>480</v>
      </c>
      <c r="B20" s="35" t="s">
        <v>356</v>
      </c>
      <c r="C20" s="37" t="s">
        <v>415</v>
      </c>
      <c r="D20" s="35" t="s">
        <v>368</v>
      </c>
      <c r="E20" s="37" t="s">
        <v>435</v>
      </c>
      <c r="F20" s="37" t="s">
        <v>19</v>
      </c>
      <c r="G20" s="35">
        <v>635</v>
      </c>
      <c r="H20" s="36">
        <v>70000</v>
      </c>
      <c r="I20" s="36">
        <v>180000</v>
      </c>
    </row>
    <row r="21" spans="1:9" x14ac:dyDescent="0.35">
      <c r="A21" s="35" t="s">
        <v>481</v>
      </c>
      <c r="B21" s="35" t="s">
        <v>356</v>
      </c>
      <c r="C21" s="37" t="s">
        <v>415</v>
      </c>
      <c r="D21" s="35" t="s">
        <v>368</v>
      </c>
      <c r="E21" s="37" t="s">
        <v>9</v>
      </c>
      <c r="F21" s="37" t="s">
        <v>20</v>
      </c>
      <c r="G21" s="35">
        <v>451</v>
      </c>
      <c r="H21" s="36">
        <v>70000</v>
      </c>
      <c r="I21" s="36">
        <v>180000</v>
      </c>
    </row>
    <row r="22" spans="1:9" x14ac:dyDescent="0.35">
      <c r="A22" s="35" t="s">
        <v>482</v>
      </c>
      <c r="B22" s="35" t="s">
        <v>356</v>
      </c>
      <c r="C22" s="37" t="s">
        <v>415</v>
      </c>
      <c r="D22" s="35" t="s">
        <v>368</v>
      </c>
      <c r="E22" s="37" t="s">
        <v>9</v>
      </c>
      <c r="F22" s="37" t="s">
        <v>11</v>
      </c>
      <c r="G22" s="35">
        <v>687</v>
      </c>
      <c r="H22" s="36">
        <v>70000</v>
      </c>
      <c r="I22" s="36">
        <v>180000</v>
      </c>
    </row>
    <row r="23" spans="1:9" x14ac:dyDescent="0.35">
      <c r="A23" s="35" t="s">
        <v>483</v>
      </c>
      <c r="B23" s="35" t="s">
        <v>356</v>
      </c>
      <c r="C23" s="37" t="s">
        <v>415</v>
      </c>
      <c r="D23" s="35" t="s">
        <v>368</v>
      </c>
      <c r="E23" s="37" t="s">
        <v>9</v>
      </c>
      <c r="F23" s="37" t="s">
        <v>15</v>
      </c>
      <c r="G23" s="35">
        <v>138</v>
      </c>
      <c r="H23" s="36">
        <v>70000</v>
      </c>
      <c r="I23" s="36">
        <v>180000</v>
      </c>
    </row>
    <row r="24" spans="1:9" x14ac:dyDescent="0.35">
      <c r="A24" s="35" t="s">
        <v>484</v>
      </c>
      <c r="B24" s="35" t="s">
        <v>356</v>
      </c>
      <c r="C24" s="37" t="s">
        <v>415</v>
      </c>
      <c r="D24" s="35" t="s">
        <v>368</v>
      </c>
      <c r="E24" s="37" t="s">
        <v>9</v>
      </c>
      <c r="F24" s="37" t="s">
        <v>12</v>
      </c>
      <c r="G24" s="35">
        <v>469</v>
      </c>
      <c r="H24" s="36">
        <v>70000</v>
      </c>
      <c r="I24" s="36">
        <v>180000</v>
      </c>
    </row>
    <row r="25" spans="1:9" x14ac:dyDescent="0.35">
      <c r="A25" s="35" t="s">
        <v>485</v>
      </c>
      <c r="B25" s="35" t="s">
        <v>356</v>
      </c>
      <c r="C25" s="37" t="s">
        <v>415</v>
      </c>
      <c r="D25" s="35" t="s">
        <v>368</v>
      </c>
      <c r="E25" s="37" t="s">
        <v>9</v>
      </c>
      <c r="F25" s="37" t="s">
        <v>19</v>
      </c>
      <c r="G25" s="35">
        <v>562</v>
      </c>
      <c r="H25" s="36">
        <v>70000</v>
      </c>
      <c r="I25" s="36">
        <v>180000</v>
      </c>
    </row>
    <row r="26" spans="1:9" x14ac:dyDescent="0.35">
      <c r="A26" s="35" t="s">
        <v>486</v>
      </c>
      <c r="B26" s="35" t="s">
        <v>356</v>
      </c>
      <c r="C26" s="37" t="s">
        <v>406</v>
      </c>
      <c r="D26" s="35" t="s">
        <v>367</v>
      </c>
      <c r="E26" s="37" t="s">
        <v>8</v>
      </c>
      <c r="F26" s="37" t="s">
        <v>20</v>
      </c>
      <c r="G26" s="35">
        <v>826</v>
      </c>
      <c r="H26" s="36">
        <v>120000</v>
      </c>
      <c r="I26" s="36">
        <v>230000</v>
      </c>
    </row>
    <row r="27" spans="1:9" x14ac:dyDescent="0.35">
      <c r="A27" s="35" t="s">
        <v>487</v>
      </c>
      <c r="B27" s="35" t="s">
        <v>356</v>
      </c>
      <c r="C27" s="37" t="s">
        <v>406</v>
      </c>
      <c r="D27" s="35" t="s">
        <v>367</v>
      </c>
      <c r="E27" s="37" t="s">
        <v>8</v>
      </c>
      <c r="F27" s="37" t="s">
        <v>11</v>
      </c>
      <c r="G27" s="35">
        <v>699</v>
      </c>
      <c r="H27" s="36">
        <v>120000</v>
      </c>
      <c r="I27" s="36">
        <v>230000</v>
      </c>
    </row>
    <row r="28" spans="1:9" x14ac:dyDescent="0.35">
      <c r="A28" s="35" t="s">
        <v>488</v>
      </c>
      <c r="B28" s="35" t="s">
        <v>356</v>
      </c>
      <c r="C28" s="37" t="s">
        <v>406</v>
      </c>
      <c r="D28" s="35" t="s">
        <v>367</v>
      </c>
      <c r="E28" s="37" t="s">
        <v>8</v>
      </c>
      <c r="F28" s="37" t="s">
        <v>15</v>
      </c>
      <c r="G28" s="35">
        <v>135</v>
      </c>
      <c r="H28" s="36">
        <v>120000</v>
      </c>
      <c r="I28" s="36">
        <v>230000</v>
      </c>
    </row>
    <row r="29" spans="1:9" x14ac:dyDescent="0.35">
      <c r="A29" s="35" t="s">
        <v>489</v>
      </c>
      <c r="B29" s="35" t="s">
        <v>356</v>
      </c>
      <c r="C29" s="37" t="s">
        <v>406</v>
      </c>
      <c r="D29" s="35" t="s">
        <v>367</v>
      </c>
      <c r="E29" s="37" t="s">
        <v>8</v>
      </c>
      <c r="F29" s="37" t="s">
        <v>12</v>
      </c>
      <c r="G29" s="35">
        <v>798</v>
      </c>
      <c r="H29" s="36">
        <v>120000</v>
      </c>
      <c r="I29" s="36">
        <v>230000</v>
      </c>
    </row>
    <row r="30" spans="1:9" x14ac:dyDescent="0.35">
      <c r="A30" s="35" t="s">
        <v>490</v>
      </c>
      <c r="B30" s="35" t="s">
        <v>356</v>
      </c>
      <c r="C30" s="37" t="s">
        <v>406</v>
      </c>
      <c r="D30" s="35" t="s">
        <v>367</v>
      </c>
      <c r="E30" s="37" t="s">
        <v>8</v>
      </c>
      <c r="F30" s="37" t="s">
        <v>19</v>
      </c>
      <c r="G30" s="35">
        <v>655</v>
      </c>
      <c r="H30" s="36">
        <v>120000</v>
      </c>
      <c r="I30" s="36">
        <v>230000</v>
      </c>
    </row>
    <row r="31" spans="1:9" x14ac:dyDescent="0.35">
      <c r="A31" s="35" t="s">
        <v>491</v>
      </c>
      <c r="B31" s="35" t="s">
        <v>356</v>
      </c>
      <c r="C31" s="37" t="s">
        <v>406</v>
      </c>
      <c r="D31" s="35" t="s">
        <v>367</v>
      </c>
      <c r="E31" s="37" t="s">
        <v>13</v>
      </c>
      <c r="F31" s="37" t="s">
        <v>20</v>
      </c>
      <c r="G31" s="35">
        <v>624</v>
      </c>
      <c r="H31" s="36">
        <v>120000</v>
      </c>
      <c r="I31" s="36">
        <v>230000</v>
      </c>
    </row>
    <row r="32" spans="1:9" x14ac:dyDescent="0.35">
      <c r="A32" s="35" t="s">
        <v>492</v>
      </c>
      <c r="B32" s="35" t="s">
        <v>356</v>
      </c>
      <c r="C32" s="37" t="s">
        <v>406</v>
      </c>
      <c r="D32" s="35" t="s">
        <v>367</v>
      </c>
      <c r="E32" s="37" t="s">
        <v>13</v>
      </c>
      <c r="F32" s="37" t="s">
        <v>11</v>
      </c>
      <c r="G32" s="35">
        <v>324</v>
      </c>
      <c r="H32" s="36">
        <v>120000</v>
      </c>
      <c r="I32" s="36">
        <v>230000</v>
      </c>
    </row>
    <row r="33" spans="1:9" x14ac:dyDescent="0.35">
      <c r="A33" s="35" t="s">
        <v>493</v>
      </c>
      <c r="B33" s="35" t="s">
        <v>356</v>
      </c>
      <c r="C33" s="37" t="s">
        <v>406</v>
      </c>
      <c r="D33" s="35" t="s">
        <v>367</v>
      </c>
      <c r="E33" s="37" t="s">
        <v>13</v>
      </c>
      <c r="F33" s="37" t="s">
        <v>15</v>
      </c>
      <c r="G33" s="35">
        <v>612</v>
      </c>
      <c r="H33" s="36">
        <v>120000</v>
      </c>
      <c r="I33" s="36">
        <v>230000</v>
      </c>
    </row>
    <row r="34" spans="1:9" x14ac:dyDescent="0.35">
      <c r="A34" s="35" t="s">
        <v>494</v>
      </c>
      <c r="B34" s="35" t="s">
        <v>356</v>
      </c>
      <c r="C34" s="37" t="s">
        <v>406</v>
      </c>
      <c r="D34" s="35" t="s">
        <v>367</v>
      </c>
      <c r="E34" s="37" t="s">
        <v>13</v>
      </c>
      <c r="F34" s="37" t="s">
        <v>12</v>
      </c>
      <c r="G34" s="35">
        <v>493</v>
      </c>
      <c r="H34" s="36">
        <v>120000</v>
      </c>
      <c r="I34" s="36">
        <v>230000</v>
      </c>
    </row>
    <row r="35" spans="1:9" x14ac:dyDescent="0.35">
      <c r="A35" s="35" t="s">
        <v>495</v>
      </c>
      <c r="B35" s="35" t="s">
        <v>356</v>
      </c>
      <c r="C35" s="37" t="s">
        <v>406</v>
      </c>
      <c r="D35" s="35" t="s">
        <v>367</v>
      </c>
      <c r="E35" s="37" t="s">
        <v>13</v>
      </c>
      <c r="F35" s="37" t="s">
        <v>19</v>
      </c>
      <c r="G35" s="35">
        <v>683</v>
      </c>
      <c r="H35" s="36">
        <v>120000</v>
      </c>
      <c r="I35" s="36">
        <v>230000</v>
      </c>
    </row>
    <row r="36" spans="1:9" x14ac:dyDescent="0.35">
      <c r="A36" s="35" t="s">
        <v>496</v>
      </c>
      <c r="B36" s="35" t="s">
        <v>356</v>
      </c>
      <c r="C36" s="37" t="s">
        <v>416</v>
      </c>
      <c r="D36" s="35" t="s">
        <v>367</v>
      </c>
      <c r="E36" s="37" t="s">
        <v>436</v>
      </c>
      <c r="F36" s="37" t="s">
        <v>20</v>
      </c>
      <c r="G36" s="35">
        <v>437</v>
      </c>
      <c r="H36" s="36">
        <v>100000</v>
      </c>
      <c r="I36" s="36">
        <v>180000</v>
      </c>
    </row>
    <row r="37" spans="1:9" x14ac:dyDescent="0.35">
      <c r="A37" s="35" t="s">
        <v>497</v>
      </c>
      <c r="B37" s="35" t="s">
        <v>356</v>
      </c>
      <c r="C37" s="37" t="s">
        <v>416</v>
      </c>
      <c r="D37" s="35" t="s">
        <v>367</v>
      </c>
      <c r="E37" s="37" t="s">
        <v>436</v>
      </c>
      <c r="F37" s="37" t="s">
        <v>11</v>
      </c>
      <c r="G37" s="35">
        <v>331</v>
      </c>
      <c r="H37" s="36">
        <v>100000</v>
      </c>
      <c r="I37" s="36">
        <v>180000</v>
      </c>
    </row>
    <row r="38" spans="1:9" x14ac:dyDescent="0.35">
      <c r="A38" s="35" t="s">
        <v>498</v>
      </c>
      <c r="B38" s="35" t="s">
        <v>356</v>
      </c>
      <c r="C38" s="37" t="s">
        <v>416</v>
      </c>
      <c r="D38" s="35" t="s">
        <v>367</v>
      </c>
      <c r="E38" s="37" t="s">
        <v>436</v>
      </c>
      <c r="F38" s="37" t="s">
        <v>15</v>
      </c>
      <c r="G38" s="35">
        <v>865</v>
      </c>
      <c r="H38" s="36">
        <v>100000</v>
      </c>
      <c r="I38" s="36">
        <v>180000</v>
      </c>
    </row>
    <row r="39" spans="1:9" x14ac:dyDescent="0.35">
      <c r="A39" s="35" t="s">
        <v>499</v>
      </c>
      <c r="B39" s="35" t="s">
        <v>356</v>
      </c>
      <c r="C39" s="37" t="s">
        <v>416</v>
      </c>
      <c r="D39" s="35" t="s">
        <v>367</v>
      </c>
      <c r="E39" s="37" t="s">
        <v>436</v>
      </c>
      <c r="F39" s="37" t="s">
        <v>12</v>
      </c>
      <c r="G39" s="35">
        <v>418</v>
      </c>
      <c r="H39" s="36">
        <v>100000</v>
      </c>
      <c r="I39" s="36">
        <v>180000</v>
      </c>
    </row>
    <row r="40" spans="1:9" x14ac:dyDescent="0.35">
      <c r="A40" s="35" t="s">
        <v>500</v>
      </c>
      <c r="B40" s="35" t="s">
        <v>356</v>
      </c>
      <c r="C40" s="37" t="s">
        <v>416</v>
      </c>
      <c r="D40" s="35" t="s">
        <v>367</v>
      </c>
      <c r="E40" s="37" t="s">
        <v>436</v>
      </c>
      <c r="F40" s="37" t="s">
        <v>19</v>
      </c>
      <c r="G40" s="35">
        <v>340</v>
      </c>
      <c r="H40" s="36">
        <v>100000</v>
      </c>
      <c r="I40" s="36">
        <v>180000</v>
      </c>
    </row>
    <row r="41" spans="1:9" x14ac:dyDescent="0.35">
      <c r="A41" s="35" t="s">
        <v>501</v>
      </c>
      <c r="B41" s="35" t="s">
        <v>356</v>
      </c>
      <c r="C41" s="37" t="s">
        <v>416</v>
      </c>
      <c r="D41" s="35" t="s">
        <v>367</v>
      </c>
      <c r="E41" s="37" t="s">
        <v>437</v>
      </c>
      <c r="F41" s="37" t="s">
        <v>20</v>
      </c>
      <c r="G41" s="35">
        <v>798</v>
      </c>
      <c r="H41" s="36">
        <v>100000</v>
      </c>
      <c r="I41" s="36">
        <v>180000</v>
      </c>
    </row>
    <row r="42" spans="1:9" x14ac:dyDescent="0.35">
      <c r="A42" s="35" t="s">
        <v>502</v>
      </c>
      <c r="B42" s="35" t="s">
        <v>356</v>
      </c>
      <c r="C42" s="37" t="s">
        <v>416</v>
      </c>
      <c r="D42" s="35" t="s">
        <v>367</v>
      </c>
      <c r="E42" s="37" t="s">
        <v>437</v>
      </c>
      <c r="F42" s="37" t="s">
        <v>11</v>
      </c>
      <c r="G42" s="35">
        <v>682</v>
      </c>
      <c r="H42" s="36">
        <v>100000</v>
      </c>
      <c r="I42" s="36">
        <v>180000</v>
      </c>
    </row>
    <row r="43" spans="1:9" x14ac:dyDescent="0.35">
      <c r="A43" s="35" t="s">
        <v>503</v>
      </c>
      <c r="B43" s="35" t="s">
        <v>356</v>
      </c>
      <c r="C43" s="37" t="s">
        <v>416</v>
      </c>
      <c r="D43" s="35" t="s">
        <v>367</v>
      </c>
      <c r="E43" s="37" t="s">
        <v>437</v>
      </c>
      <c r="F43" s="37" t="s">
        <v>15</v>
      </c>
      <c r="G43" s="35">
        <v>668</v>
      </c>
      <c r="H43" s="36">
        <v>100000</v>
      </c>
      <c r="I43" s="36">
        <v>180000</v>
      </c>
    </row>
    <row r="44" spans="1:9" x14ac:dyDescent="0.35">
      <c r="A44" s="35" t="s">
        <v>504</v>
      </c>
      <c r="B44" s="35" t="s">
        <v>356</v>
      </c>
      <c r="C44" s="37" t="s">
        <v>416</v>
      </c>
      <c r="D44" s="35" t="s">
        <v>367</v>
      </c>
      <c r="E44" s="37" t="s">
        <v>437</v>
      </c>
      <c r="F44" s="37" t="s">
        <v>12</v>
      </c>
      <c r="G44" s="35">
        <v>655</v>
      </c>
      <c r="H44" s="36">
        <v>100000</v>
      </c>
      <c r="I44" s="36">
        <v>180000</v>
      </c>
    </row>
    <row r="45" spans="1:9" x14ac:dyDescent="0.35">
      <c r="A45" s="35" t="s">
        <v>505</v>
      </c>
      <c r="B45" s="35" t="s">
        <v>356</v>
      </c>
      <c r="C45" s="37" t="s">
        <v>416</v>
      </c>
      <c r="D45" s="35" t="s">
        <v>367</v>
      </c>
      <c r="E45" s="37" t="s">
        <v>437</v>
      </c>
      <c r="F45" s="37" t="s">
        <v>19</v>
      </c>
      <c r="G45" s="35">
        <v>144</v>
      </c>
      <c r="H45" s="36">
        <v>100000</v>
      </c>
      <c r="I45" s="36">
        <v>180000</v>
      </c>
    </row>
    <row r="46" spans="1:9" x14ac:dyDescent="0.35">
      <c r="A46" s="35" t="s">
        <v>506</v>
      </c>
      <c r="B46" s="35" t="s">
        <v>356</v>
      </c>
      <c r="C46" s="37" t="s">
        <v>416</v>
      </c>
      <c r="D46" s="35" t="s">
        <v>367</v>
      </c>
      <c r="E46" s="38" t="s">
        <v>30</v>
      </c>
      <c r="F46" s="37" t="s">
        <v>20</v>
      </c>
      <c r="G46" s="35">
        <v>333</v>
      </c>
      <c r="H46" s="36">
        <v>100000</v>
      </c>
      <c r="I46" s="36">
        <v>180000</v>
      </c>
    </row>
    <row r="47" spans="1:9" x14ac:dyDescent="0.35">
      <c r="A47" s="35" t="s">
        <v>507</v>
      </c>
      <c r="B47" s="35" t="s">
        <v>356</v>
      </c>
      <c r="C47" s="37" t="s">
        <v>416</v>
      </c>
      <c r="D47" s="35" t="s">
        <v>367</v>
      </c>
      <c r="E47" s="38" t="s">
        <v>30</v>
      </c>
      <c r="F47" s="37" t="s">
        <v>11</v>
      </c>
      <c r="G47" s="35">
        <v>355</v>
      </c>
      <c r="H47" s="36">
        <v>100000</v>
      </c>
      <c r="I47" s="36">
        <v>180000</v>
      </c>
    </row>
    <row r="48" spans="1:9" x14ac:dyDescent="0.35">
      <c r="A48" s="35" t="s">
        <v>508</v>
      </c>
      <c r="B48" s="35" t="s">
        <v>356</v>
      </c>
      <c r="C48" s="37" t="s">
        <v>416</v>
      </c>
      <c r="D48" s="35" t="s">
        <v>367</v>
      </c>
      <c r="E48" s="38" t="s">
        <v>30</v>
      </c>
      <c r="F48" s="37" t="s">
        <v>15</v>
      </c>
      <c r="G48" s="35">
        <v>77</v>
      </c>
      <c r="H48" s="36">
        <v>100000</v>
      </c>
      <c r="I48" s="36">
        <v>180000</v>
      </c>
    </row>
    <row r="49" spans="1:9" x14ac:dyDescent="0.35">
      <c r="A49" s="35" t="s">
        <v>509</v>
      </c>
      <c r="B49" s="35" t="s">
        <v>356</v>
      </c>
      <c r="C49" s="37" t="s">
        <v>416</v>
      </c>
      <c r="D49" s="35" t="s">
        <v>367</v>
      </c>
      <c r="E49" s="38" t="s">
        <v>30</v>
      </c>
      <c r="F49" s="37" t="s">
        <v>12</v>
      </c>
      <c r="G49" s="35">
        <v>153</v>
      </c>
      <c r="H49" s="36">
        <v>100000</v>
      </c>
      <c r="I49" s="36">
        <v>180000</v>
      </c>
    </row>
    <row r="50" spans="1:9" x14ac:dyDescent="0.35">
      <c r="A50" s="35" t="s">
        <v>510</v>
      </c>
      <c r="B50" s="35" t="s">
        <v>356</v>
      </c>
      <c r="C50" s="37" t="s">
        <v>416</v>
      </c>
      <c r="D50" s="35" t="s">
        <v>367</v>
      </c>
      <c r="E50" s="38" t="s">
        <v>30</v>
      </c>
      <c r="F50" s="37" t="s">
        <v>19</v>
      </c>
      <c r="G50" s="35">
        <v>600</v>
      </c>
      <c r="H50" s="36">
        <v>100000</v>
      </c>
      <c r="I50" s="36">
        <v>180000</v>
      </c>
    </row>
    <row r="51" spans="1:9" x14ac:dyDescent="0.35">
      <c r="A51" s="35" t="s">
        <v>511</v>
      </c>
      <c r="B51" s="35" t="s">
        <v>357</v>
      </c>
      <c r="C51" s="37" t="s">
        <v>422</v>
      </c>
      <c r="D51" s="35" t="s">
        <v>367</v>
      </c>
      <c r="E51" s="37" t="s">
        <v>438</v>
      </c>
      <c r="F51" s="37" t="s">
        <v>20</v>
      </c>
      <c r="G51" s="35">
        <v>786</v>
      </c>
      <c r="H51" s="36">
        <v>140000</v>
      </c>
      <c r="I51" s="36">
        <v>235000</v>
      </c>
    </row>
    <row r="52" spans="1:9" x14ac:dyDescent="0.35">
      <c r="A52" s="35" t="s">
        <v>512</v>
      </c>
      <c r="B52" s="35" t="s">
        <v>357</v>
      </c>
      <c r="C52" s="37" t="s">
        <v>422</v>
      </c>
      <c r="D52" s="35" t="s">
        <v>367</v>
      </c>
      <c r="E52" s="37" t="s">
        <v>438</v>
      </c>
      <c r="F52" s="37" t="s">
        <v>11</v>
      </c>
      <c r="G52" s="35">
        <v>60</v>
      </c>
      <c r="H52" s="36">
        <v>140000</v>
      </c>
      <c r="I52" s="36">
        <v>235000</v>
      </c>
    </row>
    <row r="53" spans="1:9" x14ac:dyDescent="0.35">
      <c r="A53" s="35" t="s">
        <v>513</v>
      </c>
      <c r="B53" s="35" t="s">
        <v>357</v>
      </c>
      <c r="C53" s="37" t="s">
        <v>422</v>
      </c>
      <c r="D53" s="35" t="s">
        <v>367</v>
      </c>
      <c r="E53" s="37" t="s">
        <v>438</v>
      </c>
      <c r="F53" s="37" t="s">
        <v>15</v>
      </c>
      <c r="G53" s="35">
        <v>610</v>
      </c>
      <c r="H53" s="36">
        <v>140000</v>
      </c>
      <c r="I53" s="36">
        <v>235000</v>
      </c>
    </row>
    <row r="54" spans="1:9" x14ac:dyDescent="0.35">
      <c r="A54" s="35" t="s">
        <v>514</v>
      </c>
      <c r="B54" s="35" t="s">
        <v>357</v>
      </c>
      <c r="C54" s="37" t="s">
        <v>422</v>
      </c>
      <c r="D54" s="35" t="s">
        <v>367</v>
      </c>
      <c r="E54" s="37" t="s">
        <v>438</v>
      </c>
      <c r="F54" s="37" t="s">
        <v>12</v>
      </c>
      <c r="G54" s="35">
        <v>283</v>
      </c>
      <c r="H54" s="36">
        <v>140000</v>
      </c>
      <c r="I54" s="36">
        <v>235000</v>
      </c>
    </row>
    <row r="55" spans="1:9" x14ac:dyDescent="0.35">
      <c r="A55" s="35" t="s">
        <v>515</v>
      </c>
      <c r="B55" s="35" t="s">
        <v>357</v>
      </c>
      <c r="C55" s="37" t="s">
        <v>422</v>
      </c>
      <c r="D55" s="35" t="s">
        <v>367</v>
      </c>
      <c r="E55" s="37" t="s">
        <v>438</v>
      </c>
      <c r="F55" s="37" t="s">
        <v>19</v>
      </c>
      <c r="G55" s="35">
        <v>465</v>
      </c>
      <c r="H55" s="36">
        <v>140000</v>
      </c>
      <c r="I55" s="36">
        <v>235000</v>
      </c>
    </row>
    <row r="56" spans="1:9" x14ac:dyDescent="0.35">
      <c r="A56" s="35" t="s">
        <v>516</v>
      </c>
      <c r="B56" s="35" t="s">
        <v>357</v>
      </c>
      <c r="C56" s="37" t="s">
        <v>422</v>
      </c>
      <c r="D56" s="35" t="s">
        <v>367</v>
      </c>
      <c r="E56" s="37" t="s">
        <v>8</v>
      </c>
      <c r="F56" s="37" t="s">
        <v>20</v>
      </c>
      <c r="G56" s="35">
        <v>416</v>
      </c>
      <c r="H56" s="36">
        <v>140000</v>
      </c>
      <c r="I56" s="36">
        <v>235000</v>
      </c>
    </row>
    <row r="57" spans="1:9" x14ac:dyDescent="0.35">
      <c r="A57" s="35" t="s">
        <v>517</v>
      </c>
      <c r="B57" s="35" t="s">
        <v>357</v>
      </c>
      <c r="C57" s="37" t="s">
        <v>422</v>
      </c>
      <c r="D57" s="35" t="s">
        <v>367</v>
      </c>
      <c r="E57" s="37" t="s">
        <v>8</v>
      </c>
      <c r="F57" s="37" t="s">
        <v>11</v>
      </c>
      <c r="G57" s="35">
        <v>696</v>
      </c>
      <c r="H57" s="36">
        <v>140000</v>
      </c>
      <c r="I57" s="36">
        <v>235000</v>
      </c>
    </row>
    <row r="58" spans="1:9" x14ac:dyDescent="0.35">
      <c r="A58" s="35" t="s">
        <v>518</v>
      </c>
      <c r="B58" s="35" t="s">
        <v>357</v>
      </c>
      <c r="C58" s="37" t="s">
        <v>422</v>
      </c>
      <c r="D58" s="35" t="s">
        <v>367</v>
      </c>
      <c r="E58" s="37" t="s">
        <v>8</v>
      </c>
      <c r="F58" s="37" t="s">
        <v>15</v>
      </c>
      <c r="G58" s="35">
        <v>228</v>
      </c>
      <c r="H58" s="36">
        <v>140000</v>
      </c>
      <c r="I58" s="36">
        <v>235000</v>
      </c>
    </row>
    <row r="59" spans="1:9" x14ac:dyDescent="0.35">
      <c r="A59" s="35" t="s">
        <v>519</v>
      </c>
      <c r="B59" s="35" t="s">
        <v>357</v>
      </c>
      <c r="C59" s="37" t="s">
        <v>422</v>
      </c>
      <c r="D59" s="35" t="s">
        <v>367</v>
      </c>
      <c r="E59" s="37" t="s">
        <v>8</v>
      </c>
      <c r="F59" s="37" t="s">
        <v>12</v>
      </c>
      <c r="G59" s="35">
        <v>114</v>
      </c>
      <c r="H59" s="36">
        <v>140000</v>
      </c>
      <c r="I59" s="36">
        <v>235000</v>
      </c>
    </row>
    <row r="60" spans="1:9" x14ac:dyDescent="0.35">
      <c r="A60" s="35" t="s">
        <v>520</v>
      </c>
      <c r="B60" s="35" t="s">
        <v>357</v>
      </c>
      <c r="C60" s="37" t="s">
        <v>422</v>
      </c>
      <c r="D60" s="35" t="s">
        <v>367</v>
      </c>
      <c r="E60" s="37" t="s">
        <v>8</v>
      </c>
      <c r="F60" s="37" t="s">
        <v>19</v>
      </c>
      <c r="G60" s="35">
        <v>182</v>
      </c>
      <c r="H60" s="36">
        <v>140000</v>
      </c>
      <c r="I60" s="36">
        <v>235000</v>
      </c>
    </row>
    <row r="61" spans="1:9" x14ac:dyDescent="0.35">
      <c r="A61" s="35" t="s">
        <v>521</v>
      </c>
      <c r="B61" s="35" t="s">
        <v>357</v>
      </c>
      <c r="C61" s="37" t="s">
        <v>427</v>
      </c>
      <c r="D61" s="35" t="s">
        <v>367</v>
      </c>
      <c r="E61" s="37" t="s">
        <v>439</v>
      </c>
      <c r="F61" s="37" t="s">
        <v>20</v>
      </c>
      <c r="G61" s="35">
        <v>836</v>
      </c>
      <c r="H61" s="36">
        <v>110000</v>
      </c>
      <c r="I61" s="36">
        <v>190000</v>
      </c>
    </row>
    <row r="62" spans="1:9" x14ac:dyDescent="0.35">
      <c r="A62" s="35" t="s">
        <v>522</v>
      </c>
      <c r="B62" s="35" t="s">
        <v>357</v>
      </c>
      <c r="C62" s="37" t="s">
        <v>427</v>
      </c>
      <c r="D62" s="35" t="s">
        <v>367</v>
      </c>
      <c r="E62" s="37" t="s">
        <v>439</v>
      </c>
      <c r="F62" s="37" t="s">
        <v>11</v>
      </c>
      <c r="G62" s="35">
        <v>583</v>
      </c>
      <c r="H62" s="36">
        <v>110000</v>
      </c>
      <c r="I62" s="36">
        <v>190000</v>
      </c>
    </row>
    <row r="63" spans="1:9" x14ac:dyDescent="0.35">
      <c r="A63" s="35" t="s">
        <v>523</v>
      </c>
      <c r="B63" s="35" t="s">
        <v>357</v>
      </c>
      <c r="C63" s="37" t="s">
        <v>427</v>
      </c>
      <c r="D63" s="35" t="s">
        <v>367</v>
      </c>
      <c r="E63" s="37" t="s">
        <v>439</v>
      </c>
      <c r="F63" s="37" t="s">
        <v>15</v>
      </c>
      <c r="G63" s="35">
        <v>404</v>
      </c>
      <c r="H63" s="36">
        <v>110000</v>
      </c>
      <c r="I63" s="36">
        <v>190000</v>
      </c>
    </row>
    <row r="64" spans="1:9" x14ac:dyDescent="0.35">
      <c r="A64" s="35" t="s">
        <v>524</v>
      </c>
      <c r="B64" s="35" t="s">
        <v>357</v>
      </c>
      <c r="C64" s="37" t="s">
        <v>427</v>
      </c>
      <c r="D64" s="35" t="s">
        <v>367</v>
      </c>
      <c r="E64" s="37" t="s">
        <v>439</v>
      </c>
      <c r="F64" s="37" t="s">
        <v>12</v>
      </c>
      <c r="G64" s="35">
        <v>174</v>
      </c>
      <c r="H64" s="36">
        <v>110000</v>
      </c>
      <c r="I64" s="36">
        <v>190000</v>
      </c>
    </row>
    <row r="65" spans="1:9" x14ac:dyDescent="0.35">
      <c r="A65" s="35" t="s">
        <v>525</v>
      </c>
      <c r="B65" s="35" t="s">
        <v>357</v>
      </c>
      <c r="C65" s="37" t="s">
        <v>427</v>
      </c>
      <c r="D65" s="35" t="s">
        <v>367</v>
      </c>
      <c r="E65" s="37" t="s">
        <v>439</v>
      </c>
      <c r="F65" s="37" t="s">
        <v>19</v>
      </c>
      <c r="G65" s="35">
        <v>115</v>
      </c>
      <c r="H65" s="36">
        <v>110000</v>
      </c>
      <c r="I65" s="36">
        <v>190000</v>
      </c>
    </row>
    <row r="66" spans="1:9" x14ac:dyDescent="0.35">
      <c r="A66" s="35" t="s">
        <v>526</v>
      </c>
      <c r="B66" s="35" t="s">
        <v>358</v>
      </c>
      <c r="C66" s="37" t="s">
        <v>430</v>
      </c>
      <c r="D66" s="35" t="s">
        <v>367</v>
      </c>
      <c r="E66" s="37" t="s">
        <v>8</v>
      </c>
      <c r="F66" s="37" t="s">
        <v>20</v>
      </c>
      <c r="G66" s="35">
        <v>356</v>
      </c>
      <c r="H66" s="36">
        <v>110000</v>
      </c>
      <c r="I66" s="36">
        <v>190000</v>
      </c>
    </row>
    <row r="67" spans="1:9" x14ac:dyDescent="0.35">
      <c r="A67" s="35" t="s">
        <v>527</v>
      </c>
      <c r="B67" s="35" t="s">
        <v>358</v>
      </c>
      <c r="C67" s="37" t="s">
        <v>430</v>
      </c>
      <c r="D67" s="35" t="s">
        <v>367</v>
      </c>
      <c r="E67" s="37" t="s">
        <v>8</v>
      </c>
      <c r="F67" s="37" t="s">
        <v>11</v>
      </c>
      <c r="G67" s="35">
        <v>849</v>
      </c>
      <c r="H67" s="36">
        <v>110000</v>
      </c>
      <c r="I67" s="36">
        <v>190000</v>
      </c>
    </row>
    <row r="68" spans="1:9" x14ac:dyDescent="0.35">
      <c r="A68" s="35" t="s">
        <v>528</v>
      </c>
      <c r="B68" s="35" t="s">
        <v>358</v>
      </c>
      <c r="C68" s="37" t="s">
        <v>430</v>
      </c>
      <c r="D68" s="35" t="s">
        <v>367</v>
      </c>
      <c r="E68" s="37" t="s">
        <v>8</v>
      </c>
      <c r="F68" s="37" t="s">
        <v>15</v>
      </c>
      <c r="G68" s="35">
        <v>224</v>
      </c>
      <c r="H68" s="36">
        <v>110000</v>
      </c>
      <c r="I68" s="36">
        <v>190000</v>
      </c>
    </row>
    <row r="69" spans="1:9" x14ac:dyDescent="0.35">
      <c r="A69" s="35" t="s">
        <v>529</v>
      </c>
      <c r="B69" s="35" t="s">
        <v>358</v>
      </c>
      <c r="C69" s="37" t="s">
        <v>430</v>
      </c>
      <c r="D69" s="35" t="s">
        <v>367</v>
      </c>
      <c r="E69" s="37" t="s">
        <v>8</v>
      </c>
      <c r="F69" s="37" t="s">
        <v>12</v>
      </c>
      <c r="G69" s="35">
        <v>414</v>
      </c>
      <c r="H69" s="36">
        <v>110000</v>
      </c>
      <c r="I69" s="36">
        <v>190000</v>
      </c>
    </row>
    <row r="70" spans="1:9" x14ac:dyDescent="0.35">
      <c r="A70" s="35" t="s">
        <v>530</v>
      </c>
      <c r="B70" s="35" t="s">
        <v>358</v>
      </c>
      <c r="C70" s="37" t="s">
        <v>430</v>
      </c>
      <c r="D70" s="35" t="s">
        <v>367</v>
      </c>
      <c r="E70" s="37" t="s">
        <v>8</v>
      </c>
      <c r="F70" s="37" t="s">
        <v>19</v>
      </c>
      <c r="G70" s="35">
        <v>994</v>
      </c>
      <c r="H70" s="36">
        <v>110000</v>
      </c>
      <c r="I70" s="36">
        <v>190000</v>
      </c>
    </row>
    <row r="71" spans="1:9" x14ac:dyDescent="0.35">
      <c r="A71" s="35" t="s">
        <v>531</v>
      </c>
      <c r="B71" s="35" t="s">
        <v>358</v>
      </c>
      <c r="C71" s="37" t="s">
        <v>430</v>
      </c>
      <c r="D71" s="35" t="s">
        <v>367</v>
      </c>
      <c r="E71" s="37" t="s">
        <v>13</v>
      </c>
      <c r="F71" s="37" t="s">
        <v>20</v>
      </c>
      <c r="G71" s="35">
        <v>212</v>
      </c>
      <c r="H71" s="36">
        <v>110000</v>
      </c>
      <c r="I71" s="36">
        <v>190000</v>
      </c>
    </row>
    <row r="72" spans="1:9" x14ac:dyDescent="0.35">
      <c r="A72" s="35" t="s">
        <v>532</v>
      </c>
      <c r="B72" s="35" t="s">
        <v>358</v>
      </c>
      <c r="C72" s="37" t="s">
        <v>430</v>
      </c>
      <c r="D72" s="35" t="s">
        <v>367</v>
      </c>
      <c r="E72" s="37" t="s">
        <v>13</v>
      </c>
      <c r="F72" s="37" t="s">
        <v>11</v>
      </c>
      <c r="G72" s="35">
        <v>981</v>
      </c>
      <c r="H72" s="36">
        <v>110000</v>
      </c>
      <c r="I72" s="36">
        <v>190000</v>
      </c>
    </row>
    <row r="73" spans="1:9" x14ac:dyDescent="0.35">
      <c r="A73" s="35" t="s">
        <v>533</v>
      </c>
      <c r="B73" s="35" t="s">
        <v>358</v>
      </c>
      <c r="C73" s="37" t="s">
        <v>430</v>
      </c>
      <c r="D73" s="35" t="s">
        <v>367</v>
      </c>
      <c r="E73" s="37" t="s">
        <v>13</v>
      </c>
      <c r="F73" s="37" t="s">
        <v>15</v>
      </c>
      <c r="G73" s="35">
        <v>553</v>
      </c>
      <c r="H73" s="36">
        <v>110000</v>
      </c>
      <c r="I73" s="36">
        <v>190000</v>
      </c>
    </row>
    <row r="74" spans="1:9" x14ac:dyDescent="0.35">
      <c r="A74" s="35" t="s">
        <v>534</v>
      </c>
      <c r="B74" s="35" t="s">
        <v>358</v>
      </c>
      <c r="C74" s="37" t="s">
        <v>430</v>
      </c>
      <c r="D74" s="35" t="s">
        <v>367</v>
      </c>
      <c r="E74" s="37" t="s">
        <v>13</v>
      </c>
      <c r="F74" s="37" t="s">
        <v>12</v>
      </c>
      <c r="G74" s="35">
        <v>15</v>
      </c>
      <c r="H74" s="36">
        <v>110000</v>
      </c>
      <c r="I74" s="36">
        <v>190000</v>
      </c>
    </row>
    <row r="75" spans="1:9" x14ac:dyDescent="0.35">
      <c r="A75" s="35" t="s">
        <v>535</v>
      </c>
      <c r="B75" s="35" t="s">
        <v>358</v>
      </c>
      <c r="C75" s="37" t="s">
        <v>430</v>
      </c>
      <c r="D75" s="35" t="s">
        <v>367</v>
      </c>
      <c r="E75" s="37" t="s">
        <v>13</v>
      </c>
      <c r="F75" s="37" t="s">
        <v>19</v>
      </c>
      <c r="G75" s="35">
        <v>941</v>
      </c>
      <c r="H75" s="36">
        <v>110000</v>
      </c>
      <c r="I75" s="36">
        <v>190000</v>
      </c>
    </row>
    <row r="76" spans="1:9" x14ac:dyDescent="0.35">
      <c r="A76" s="35" t="s">
        <v>536</v>
      </c>
      <c r="B76" s="35" t="s">
        <v>358</v>
      </c>
      <c r="C76" s="37" t="s">
        <v>14</v>
      </c>
      <c r="D76" s="35" t="s">
        <v>367</v>
      </c>
      <c r="E76" s="37" t="s">
        <v>440</v>
      </c>
      <c r="F76" s="37" t="s">
        <v>20</v>
      </c>
      <c r="G76" s="35">
        <v>228</v>
      </c>
      <c r="H76" s="36">
        <v>160000</v>
      </c>
      <c r="I76" s="36">
        <v>235000</v>
      </c>
    </row>
    <row r="77" spans="1:9" x14ac:dyDescent="0.35">
      <c r="A77" s="35" t="s">
        <v>537</v>
      </c>
      <c r="B77" s="35" t="s">
        <v>358</v>
      </c>
      <c r="C77" s="37" t="s">
        <v>14</v>
      </c>
      <c r="D77" s="35" t="s">
        <v>367</v>
      </c>
      <c r="E77" s="37" t="s">
        <v>440</v>
      </c>
      <c r="F77" s="37" t="s">
        <v>11</v>
      </c>
      <c r="G77" s="35">
        <v>237</v>
      </c>
      <c r="H77" s="36">
        <v>160000</v>
      </c>
      <c r="I77" s="36">
        <v>235000</v>
      </c>
    </row>
    <row r="78" spans="1:9" x14ac:dyDescent="0.35">
      <c r="A78" s="35" t="s">
        <v>538</v>
      </c>
      <c r="B78" s="35" t="s">
        <v>358</v>
      </c>
      <c r="C78" s="37" t="s">
        <v>14</v>
      </c>
      <c r="D78" s="35" t="s">
        <v>367</v>
      </c>
      <c r="E78" s="37" t="s">
        <v>440</v>
      </c>
      <c r="F78" s="37" t="s">
        <v>15</v>
      </c>
      <c r="G78" s="35">
        <v>918</v>
      </c>
      <c r="H78" s="36">
        <v>160000</v>
      </c>
      <c r="I78" s="36">
        <v>235000</v>
      </c>
    </row>
    <row r="79" spans="1:9" x14ac:dyDescent="0.35">
      <c r="A79" s="35" t="s">
        <v>539</v>
      </c>
      <c r="B79" s="35" t="s">
        <v>358</v>
      </c>
      <c r="C79" s="37" t="s">
        <v>14</v>
      </c>
      <c r="D79" s="35" t="s">
        <v>367</v>
      </c>
      <c r="E79" s="37" t="s">
        <v>440</v>
      </c>
      <c r="F79" s="37" t="s">
        <v>12</v>
      </c>
      <c r="G79" s="35">
        <v>77</v>
      </c>
      <c r="H79" s="36">
        <v>160000</v>
      </c>
      <c r="I79" s="36">
        <v>235000</v>
      </c>
    </row>
    <row r="80" spans="1:9" x14ac:dyDescent="0.35">
      <c r="A80" s="35" t="s">
        <v>540</v>
      </c>
      <c r="B80" s="35" t="s">
        <v>358</v>
      </c>
      <c r="C80" s="37" t="s">
        <v>14</v>
      </c>
      <c r="D80" s="35" t="s">
        <v>367</v>
      </c>
      <c r="E80" s="37" t="s">
        <v>440</v>
      </c>
      <c r="F80" s="37" t="s">
        <v>19</v>
      </c>
      <c r="G80" s="35">
        <v>246</v>
      </c>
      <c r="H80" s="36">
        <v>160000</v>
      </c>
      <c r="I80" s="36">
        <v>235000</v>
      </c>
    </row>
    <row r="81" spans="1:9" x14ac:dyDescent="0.35">
      <c r="A81" s="35" t="s">
        <v>541</v>
      </c>
      <c r="B81" s="35" t="s">
        <v>358</v>
      </c>
      <c r="C81" s="37" t="s">
        <v>14</v>
      </c>
      <c r="D81" s="35" t="s">
        <v>367</v>
      </c>
      <c r="E81" s="37" t="s">
        <v>441</v>
      </c>
      <c r="F81" s="37" t="s">
        <v>20</v>
      </c>
      <c r="G81" s="35">
        <v>232</v>
      </c>
      <c r="H81" s="36">
        <v>160000</v>
      </c>
      <c r="I81" s="36">
        <v>235000</v>
      </c>
    </row>
    <row r="82" spans="1:9" x14ac:dyDescent="0.35">
      <c r="A82" s="35" t="s">
        <v>542</v>
      </c>
      <c r="B82" s="35" t="s">
        <v>358</v>
      </c>
      <c r="C82" s="37" t="s">
        <v>14</v>
      </c>
      <c r="D82" s="35" t="s">
        <v>367</v>
      </c>
      <c r="E82" s="37" t="s">
        <v>441</v>
      </c>
      <c r="F82" s="37" t="s">
        <v>11</v>
      </c>
      <c r="G82" s="35">
        <v>268</v>
      </c>
      <c r="H82" s="36">
        <v>160000</v>
      </c>
      <c r="I82" s="36">
        <v>235000</v>
      </c>
    </row>
    <row r="83" spans="1:9" x14ac:dyDescent="0.35">
      <c r="A83" s="35" t="s">
        <v>543</v>
      </c>
      <c r="B83" s="35" t="s">
        <v>358</v>
      </c>
      <c r="C83" s="37" t="s">
        <v>14</v>
      </c>
      <c r="D83" s="35" t="s">
        <v>367</v>
      </c>
      <c r="E83" s="37" t="s">
        <v>441</v>
      </c>
      <c r="F83" s="37" t="s">
        <v>15</v>
      </c>
      <c r="G83" s="35">
        <v>537</v>
      </c>
      <c r="H83" s="36">
        <v>160000</v>
      </c>
      <c r="I83" s="36">
        <v>235000</v>
      </c>
    </row>
    <row r="84" spans="1:9" x14ac:dyDescent="0.35">
      <c r="A84" s="35" t="s">
        <v>544</v>
      </c>
      <c r="B84" s="35" t="s">
        <v>358</v>
      </c>
      <c r="C84" s="37" t="s">
        <v>14</v>
      </c>
      <c r="D84" s="35" t="s">
        <v>367</v>
      </c>
      <c r="E84" s="37" t="s">
        <v>441</v>
      </c>
      <c r="F84" s="37" t="s">
        <v>12</v>
      </c>
      <c r="G84" s="35">
        <v>564</v>
      </c>
      <c r="H84" s="36">
        <v>160000</v>
      </c>
      <c r="I84" s="36">
        <v>235000</v>
      </c>
    </row>
    <row r="85" spans="1:9" x14ac:dyDescent="0.35">
      <c r="A85" s="35" t="s">
        <v>545</v>
      </c>
      <c r="B85" s="35" t="s">
        <v>358</v>
      </c>
      <c r="C85" s="37" t="s">
        <v>14</v>
      </c>
      <c r="D85" s="35" t="s">
        <v>367</v>
      </c>
      <c r="E85" s="37" t="s">
        <v>441</v>
      </c>
      <c r="F85" s="37" t="s">
        <v>19</v>
      </c>
      <c r="G85" s="35">
        <v>247</v>
      </c>
      <c r="H85" s="36">
        <v>160000</v>
      </c>
      <c r="I85" s="36">
        <v>235000</v>
      </c>
    </row>
    <row r="86" spans="1:9" x14ac:dyDescent="0.35">
      <c r="A86" s="35" t="s">
        <v>546</v>
      </c>
      <c r="B86" s="35" t="s">
        <v>359</v>
      </c>
      <c r="C86" s="37" t="s">
        <v>407</v>
      </c>
      <c r="D86" s="35" t="s">
        <v>367</v>
      </c>
      <c r="E86" s="37" t="s">
        <v>30</v>
      </c>
      <c r="F86" s="37" t="s">
        <v>20</v>
      </c>
      <c r="G86" s="35">
        <v>846</v>
      </c>
      <c r="H86" s="36">
        <v>119000</v>
      </c>
      <c r="I86" s="36">
        <v>199000</v>
      </c>
    </row>
    <row r="87" spans="1:9" x14ac:dyDescent="0.35">
      <c r="A87" s="35" t="s">
        <v>547</v>
      </c>
      <c r="B87" s="35" t="s">
        <v>359</v>
      </c>
      <c r="C87" s="37" t="s">
        <v>407</v>
      </c>
      <c r="D87" s="35" t="s">
        <v>367</v>
      </c>
      <c r="E87" s="37" t="s">
        <v>30</v>
      </c>
      <c r="F87" s="37" t="s">
        <v>11</v>
      </c>
      <c r="G87" s="35">
        <v>559</v>
      </c>
      <c r="H87" s="36">
        <v>119000</v>
      </c>
      <c r="I87" s="36">
        <v>199000</v>
      </c>
    </row>
    <row r="88" spans="1:9" x14ac:dyDescent="0.35">
      <c r="A88" s="35" t="s">
        <v>548</v>
      </c>
      <c r="B88" s="35" t="s">
        <v>359</v>
      </c>
      <c r="C88" s="37" t="s">
        <v>407</v>
      </c>
      <c r="D88" s="35" t="s">
        <v>367</v>
      </c>
      <c r="E88" s="37" t="s">
        <v>30</v>
      </c>
      <c r="F88" s="37" t="s">
        <v>15</v>
      </c>
      <c r="G88" s="35">
        <v>863</v>
      </c>
      <c r="H88" s="36">
        <v>119000</v>
      </c>
      <c r="I88" s="36">
        <v>199000</v>
      </c>
    </row>
    <row r="89" spans="1:9" x14ac:dyDescent="0.35">
      <c r="A89" s="35" t="s">
        <v>549</v>
      </c>
      <c r="B89" s="35" t="s">
        <v>359</v>
      </c>
      <c r="C89" s="37" t="s">
        <v>407</v>
      </c>
      <c r="D89" s="35" t="s">
        <v>367</v>
      </c>
      <c r="E89" s="37" t="s">
        <v>30</v>
      </c>
      <c r="F89" s="37" t="s">
        <v>12</v>
      </c>
      <c r="G89" s="35">
        <v>781</v>
      </c>
      <c r="H89" s="36">
        <v>119000</v>
      </c>
      <c r="I89" s="36">
        <v>199000</v>
      </c>
    </row>
    <row r="90" spans="1:9" x14ac:dyDescent="0.35">
      <c r="A90" s="35" t="s">
        <v>550</v>
      </c>
      <c r="B90" s="35" t="s">
        <v>359</v>
      </c>
      <c r="C90" s="37" t="s">
        <v>407</v>
      </c>
      <c r="D90" s="35" t="s">
        <v>367</v>
      </c>
      <c r="E90" s="37" t="s">
        <v>30</v>
      </c>
      <c r="F90" s="37" t="s">
        <v>19</v>
      </c>
      <c r="G90" s="35">
        <v>429</v>
      </c>
      <c r="H90" s="36">
        <v>119000</v>
      </c>
      <c r="I90" s="36">
        <v>199000</v>
      </c>
    </row>
    <row r="91" spans="1:9" x14ac:dyDescent="0.35">
      <c r="A91" s="35" t="s">
        <v>551</v>
      </c>
      <c r="B91" s="35" t="s">
        <v>359</v>
      </c>
      <c r="C91" s="37" t="s">
        <v>407</v>
      </c>
      <c r="D91" s="35" t="s">
        <v>367</v>
      </c>
      <c r="E91" s="37" t="s">
        <v>442</v>
      </c>
      <c r="F91" s="37" t="s">
        <v>20</v>
      </c>
      <c r="G91" s="35">
        <v>37</v>
      </c>
      <c r="H91" s="36">
        <v>119000</v>
      </c>
      <c r="I91" s="36">
        <v>199000</v>
      </c>
    </row>
    <row r="92" spans="1:9" x14ac:dyDescent="0.35">
      <c r="A92" s="35" t="s">
        <v>552</v>
      </c>
      <c r="B92" s="35" t="s">
        <v>359</v>
      </c>
      <c r="C92" s="37" t="s">
        <v>407</v>
      </c>
      <c r="D92" s="35" t="s">
        <v>367</v>
      </c>
      <c r="E92" s="37" t="s">
        <v>442</v>
      </c>
      <c r="F92" s="37" t="s">
        <v>11</v>
      </c>
      <c r="G92" s="35">
        <v>10</v>
      </c>
      <c r="H92" s="36">
        <v>119000</v>
      </c>
      <c r="I92" s="36">
        <v>199000</v>
      </c>
    </row>
    <row r="93" spans="1:9" x14ac:dyDescent="0.35">
      <c r="A93" s="35" t="s">
        <v>553</v>
      </c>
      <c r="B93" s="35" t="s">
        <v>359</v>
      </c>
      <c r="C93" s="37" t="s">
        <v>407</v>
      </c>
      <c r="D93" s="35" t="s">
        <v>367</v>
      </c>
      <c r="E93" s="37" t="s">
        <v>442</v>
      </c>
      <c r="F93" s="37" t="s">
        <v>15</v>
      </c>
      <c r="G93" s="35">
        <v>876</v>
      </c>
      <c r="H93" s="36">
        <v>119000</v>
      </c>
      <c r="I93" s="36">
        <v>199000</v>
      </c>
    </row>
    <row r="94" spans="1:9" x14ac:dyDescent="0.35">
      <c r="A94" s="35" t="s">
        <v>554</v>
      </c>
      <c r="B94" s="35" t="s">
        <v>359</v>
      </c>
      <c r="C94" s="37" t="s">
        <v>407</v>
      </c>
      <c r="D94" s="35" t="s">
        <v>367</v>
      </c>
      <c r="E94" s="37" t="s">
        <v>442</v>
      </c>
      <c r="F94" s="37" t="s">
        <v>12</v>
      </c>
      <c r="G94" s="35">
        <v>202</v>
      </c>
      <c r="H94" s="36">
        <v>119000</v>
      </c>
      <c r="I94" s="36">
        <v>199000</v>
      </c>
    </row>
    <row r="95" spans="1:9" x14ac:dyDescent="0.35">
      <c r="A95" s="35" t="s">
        <v>555</v>
      </c>
      <c r="B95" s="35" t="s">
        <v>359</v>
      </c>
      <c r="C95" s="37" t="s">
        <v>407</v>
      </c>
      <c r="D95" s="35" t="s">
        <v>367</v>
      </c>
      <c r="E95" s="37" t="s">
        <v>442</v>
      </c>
      <c r="F95" s="37" t="s">
        <v>19</v>
      </c>
      <c r="G95" s="35">
        <v>912</v>
      </c>
      <c r="H95" s="36">
        <v>119000</v>
      </c>
      <c r="I95" s="36">
        <v>199000</v>
      </c>
    </row>
    <row r="96" spans="1:9" x14ac:dyDescent="0.35">
      <c r="A96" s="35" t="s">
        <v>556</v>
      </c>
      <c r="B96" s="35" t="s">
        <v>359</v>
      </c>
      <c r="C96" s="37" t="s">
        <v>411</v>
      </c>
      <c r="D96" s="35" t="s">
        <v>367</v>
      </c>
      <c r="E96" s="37" t="s">
        <v>8</v>
      </c>
      <c r="F96" s="37" t="s">
        <v>20</v>
      </c>
      <c r="G96" s="35">
        <v>860</v>
      </c>
      <c r="H96" s="36">
        <v>119000</v>
      </c>
      <c r="I96" s="36">
        <v>199000</v>
      </c>
    </row>
    <row r="97" spans="1:9" x14ac:dyDescent="0.35">
      <c r="A97" s="35" t="s">
        <v>557</v>
      </c>
      <c r="B97" s="35" t="s">
        <v>359</v>
      </c>
      <c r="C97" s="37" t="s">
        <v>411</v>
      </c>
      <c r="D97" s="35" t="s">
        <v>367</v>
      </c>
      <c r="E97" s="37" t="s">
        <v>8</v>
      </c>
      <c r="F97" s="37" t="s">
        <v>11</v>
      </c>
      <c r="G97" s="35">
        <v>739</v>
      </c>
      <c r="H97" s="36">
        <v>119000</v>
      </c>
      <c r="I97" s="36">
        <v>199000</v>
      </c>
    </row>
    <row r="98" spans="1:9" x14ac:dyDescent="0.35">
      <c r="A98" s="35" t="s">
        <v>558</v>
      </c>
      <c r="B98" s="35" t="s">
        <v>359</v>
      </c>
      <c r="C98" s="37" t="s">
        <v>411</v>
      </c>
      <c r="D98" s="35" t="s">
        <v>367</v>
      </c>
      <c r="E98" s="37" t="s">
        <v>8</v>
      </c>
      <c r="F98" s="37" t="s">
        <v>15</v>
      </c>
      <c r="G98" s="35">
        <v>339</v>
      </c>
      <c r="H98" s="36">
        <v>119000</v>
      </c>
      <c r="I98" s="36">
        <v>199000</v>
      </c>
    </row>
    <row r="99" spans="1:9" x14ac:dyDescent="0.35">
      <c r="A99" s="35" t="s">
        <v>559</v>
      </c>
      <c r="B99" s="35" t="s">
        <v>359</v>
      </c>
      <c r="C99" s="37" t="s">
        <v>411</v>
      </c>
      <c r="D99" s="35" t="s">
        <v>367</v>
      </c>
      <c r="E99" s="37" t="s">
        <v>8</v>
      </c>
      <c r="F99" s="37" t="s">
        <v>12</v>
      </c>
      <c r="G99" s="35">
        <v>191</v>
      </c>
      <c r="H99" s="36">
        <v>119000</v>
      </c>
      <c r="I99" s="36">
        <v>199000</v>
      </c>
    </row>
    <row r="100" spans="1:9" x14ac:dyDescent="0.35">
      <c r="A100" s="35" t="s">
        <v>560</v>
      </c>
      <c r="B100" s="35" t="s">
        <v>359</v>
      </c>
      <c r="C100" s="37" t="s">
        <v>411</v>
      </c>
      <c r="D100" s="35" t="s">
        <v>367</v>
      </c>
      <c r="E100" s="37" t="s">
        <v>8</v>
      </c>
      <c r="F100" s="37" t="s">
        <v>19</v>
      </c>
      <c r="G100" s="35">
        <v>677</v>
      </c>
      <c r="H100" s="36">
        <v>119000</v>
      </c>
      <c r="I100" s="36">
        <v>199000</v>
      </c>
    </row>
    <row r="101" spans="1:9" x14ac:dyDescent="0.35">
      <c r="A101" s="35" t="s">
        <v>561</v>
      </c>
      <c r="B101" s="35" t="s">
        <v>359</v>
      </c>
      <c r="C101" s="37" t="s">
        <v>411</v>
      </c>
      <c r="D101" s="35" t="s">
        <v>367</v>
      </c>
      <c r="E101" s="37" t="s">
        <v>443</v>
      </c>
      <c r="F101" s="37" t="s">
        <v>20</v>
      </c>
      <c r="G101" s="35">
        <v>631</v>
      </c>
      <c r="H101" s="36">
        <v>119000</v>
      </c>
      <c r="I101" s="36">
        <v>199000</v>
      </c>
    </row>
    <row r="102" spans="1:9" x14ac:dyDescent="0.35">
      <c r="A102" s="35" t="s">
        <v>562</v>
      </c>
      <c r="B102" s="35" t="s">
        <v>359</v>
      </c>
      <c r="C102" s="37" t="s">
        <v>411</v>
      </c>
      <c r="D102" s="35" t="s">
        <v>367</v>
      </c>
      <c r="E102" s="37" t="s">
        <v>443</v>
      </c>
      <c r="F102" s="37" t="s">
        <v>11</v>
      </c>
      <c r="G102" s="35">
        <v>556</v>
      </c>
      <c r="H102" s="36">
        <v>119000</v>
      </c>
      <c r="I102" s="36">
        <v>199000</v>
      </c>
    </row>
    <row r="103" spans="1:9" x14ac:dyDescent="0.35">
      <c r="A103" s="35" t="s">
        <v>563</v>
      </c>
      <c r="B103" s="35" t="s">
        <v>359</v>
      </c>
      <c r="C103" s="37" t="s">
        <v>411</v>
      </c>
      <c r="D103" s="35" t="s">
        <v>367</v>
      </c>
      <c r="E103" s="37" t="s">
        <v>443</v>
      </c>
      <c r="F103" s="37" t="s">
        <v>15</v>
      </c>
      <c r="G103" s="35">
        <v>912</v>
      </c>
      <c r="H103" s="36">
        <v>119000</v>
      </c>
      <c r="I103" s="36">
        <v>199000</v>
      </c>
    </row>
    <row r="104" spans="1:9" x14ac:dyDescent="0.35">
      <c r="A104" s="35" t="s">
        <v>564</v>
      </c>
      <c r="B104" s="35" t="s">
        <v>359</v>
      </c>
      <c r="C104" s="37" t="s">
        <v>411</v>
      </c>
      <c r="D104" s="35" t="s">
        <v>367</v>
      </c>
      <c r="E104" s="37" t="s">
        <v>443</v>
      </c>
      <c r="F104" s="37" t="s">
        <v>12</v>
      </c>
      <c r="G104" s="35">
        <v>837</v>
      </c>
      <c r="H104" s="36">
        <v>119000</v>
      </c>
      <c r="I104" s="36">
        <v>199000</v>
      </c>
    </row>
    <row r="105" spans="1:9" x14ac:dyDescent="0.35">
      <c r="A105" s="35" t="s">
        <v>565</v>
      </c>
      <c r="B105" s="35" t="s">
        <v>359</v>
      </c>
      <c r="C105" s="37" t="s">
        <v>411</v>
      </c>
      <c r="D105" s="35" t="s">
        <v>367</v>
      </c>
      <c r="E105" s="37" t="s">
        <v>443</v>
      </c>
      <c r="F105" s="37" t="s">
        <v>19</v>
      </c>
      <c r="G105" s="35">
        <v>397</v>
      </c>
      <c r="H105" s="36">
        <v>119000</v>
      </c>
      <c r="I105" s="36">
        <v>199000</v>
      </c>
    </row>
    <row r="106" spans="1:9" x14ac:dyDescent="0.35">
      <c r="A106" s="35" t="s">
        <v>566</v>
      </c>
      <c r="B106" s="35" t="s">
        <v>359</v>
      </c>
      <c r="C106" s="37" t="s">
        <v>444</v>
      </c>
      <c r="D106" s="35" t="s">
        <v>367</v>
      </c>
      <c r="E106" s="37" t="s">
        <v>9</v>
      </c>
      <c r="F106" s="37" t="s">
        <v>20</v>
      </c>
      <c r="G106" s="35">
        <v>292</v>
      </c>
      <c r="H106" s="36">
        <v>60000</v>
      </c>
      <c r="I106" s="36">
        <v>145000</v>
      </c>
    </row>
    <row r="107" spans="1:9" x14ac:dyDescent="0.35">
      <c r="A107" s="35" t="s">
        <v>567</v>
      </c>
      <c r="B107" s="35" t="s">
        <v>359</v>
      </c>
      <c r="C107" s="37" t="s">
        <v>444</v>
      </c>
      <c r="D107" s="35" t="s">
        <v>367</v>
      </c>
      <c r="E107" s="37" t="s">
        <v>9</v>
      </c>
      <c r="F107" s="37" t="s">
        <v>11</v>
      </c>
      <c r="G107" s="35">
        <v>174</v>
      </c>
      <c r="H107" s="36">
        <v>60000</v>
      </c>
      <c r="I107" s="36">
        <v>145000</v>
      </c>
    </row>
    <row r="108" spans="1:9" x14ac:dyDescent="0.35">
      <c r="A108" s="35" t="s">
        <v>568</v>
      </c>
      <c r="B108" s="35" t="s">
        <v>359</v>
      </c>
      <c r="C108" s="37" t="s">
        <v>444</v>
      </c>
      <c r="D108" s="35" t="s">
        <v>367</v>
      </c>
      <c r="E108" s="37" t="s">
        <v>9</v>
      </c>
      <c r="F108" s="37" t="s">
        <v>15</v>
      </c>
      <c r="G108" s="35">
        <v>975</v>
      </c>
      <c r="H108" s="36">
        <v>60000</v>
      </c>
      <c r="I108" s="36">
        <v>145000</v>
      </c>
    </row>
    <row r="109" spans="1:9" x14ac:dyDescent="0.35">
      <c r="A109" s="35" t="s">
        <v>569</v>
      </c>
      <c r="B109" s="35" t="s">
        <v>359</v>
      </c>
      <c r="C109" s="37" t="s">
        <v>444</v>
      </c>
      <c r="D109" s="35" t="s">
        <v>367</v>
      </c>
      <c r="E109" s="37" t="s">
        <v>9</v>
      </c>
      <c r="F109" s="37" t="s">
        <v>12</v>
      </c>
      <c r="G109" s="35">
        <v>910</v>
      </c>
      <c r="H109" s="36">
        <v>60000</v>
      </c>
      <c r="I109" s="36">
        <v>145000</v>
      </c>
    </row>
    <row r="110" spans="1:9" x14ac:dyDescent="0.35">
      <c r="A110" s="35" t="s">
        <v>570</v>
      </c>
      <c r="B110" s="35" t="s">
        <v>359</v>
      </c>
      <c r="C110" s="37" t="s">
        <v>444</v>
      </c>
      <c r="D110" s="35" t="s">
        <v>367</v>
      </c>
      <c r="E110" s="37" t="s">
        <v>9</v>
      </c>
      <c r="F110" s="37" t="s">
        <v>19</v>
      </c>
      <c r="G110" s="35">
        <v>701</v>
      </c>
      <c r="H110" s="36">
        <v>60000</v>
      </c>
      <c r="I110" s="36">
        <v>145000</v>
      </c>
    </row>
    <row r="111" spans="1:9" x14ac:dyDescent="0.35">
      <c r="A111" s="35" t="s">
        <v>571</v>
      </c>
      <c r="B111" s="35" t="s">
        <v>359</v>
      </c>
      <c r="C111" s="37" t="s">
        <v>444</v>
      </c>
      <c r="D111" s="35" t="s">
        <v>367</v>
      </c>
      <c r="E111" s="37" t="s">
        <v>8</v>
      </c>
      <c r="F111" s="37" t="s">
        <v>20</v>
      </c>
      <c r="G111" s="35">
        <v>498</v>
      </c>
      <c r="H111" s="36">
        <v>60000</v>
      </c>
      <c r="I111" s="36">
        <v>145000</v>
      </c>
    </row>
    <row r="112" spans="1:9" x14ac:dyDescent="0.35">
      <c r="A112" s="35" t="s">
        <v>572</v>
      </c>
      <c r="B112" s="35" t="s">
        <v>359</v>
      </c>
      <c r="C112" s="37" t="s">
        <v>444</v>
      </c>
      <c r="D112" s="35" t="s">
        <v>367</v>
      </c>
      <c r="E112" s="37" t="s">
        <v>8</v>
      </c>
      <c r="F112" s="37" t="s">
        <v>11</v>
      </c>
      <c r="G112" s="35">
        <v>848</v>
      </c>
      <c r="H112" s="36">
        <v>60000</v>
      </c>
      <c r="I112" s="36">
        <v>145000</v>
      </c>
    </row>
    <row r="113" spans="1:9" x14ac:dyDescent="0.35">
      <c r="A113" s="35" t="s">
        <v>573</v>
      </c>
      <c r="B113" s="35" t="s">
        <v>359</v>
      </c>
      <c r="C113" s="37" t="s">
        <v>444</v>
      </c>
      <c r="D113" s="35" t="s">
        <v>367</v>
      </c>
      <c r="E113" s="37" t="s">
        <v>8</v>
      </c>
      <c r="F113" s="37" t="s">
        <v>15</v>
      </c>
      <c r="G113" s="35">
        <v>213</v>
      </c>
      <c r="H113" s="36">
        <v>60000</v>
      </c>
      <c r="I113" s="36">
        <v>145000</v>
      </c>
    </row>
    <row r="114" spans="1:9" x14ac:dyDescent="0.35">
      <c r="A114" s="35" t="s">
        <v>574</v>
      </c>
      <c r="B114" s="35" t="s">
        <v>359</v>
      </c>
      <c r="C114" s="37" t="s">
        <v>444</v>
      </c>
      <c r="D114" s="35" t="s">
        <v>367</v>
      </c>
      <c r="E114" s="37" t="s">
        <v>8</v>
      </c>
      <c r="F114" s="37" t="s">
        <v>12</v>
      </c>
      <c r="G114" s="35">
        <v>73</v>
      </c>
      <c r="H114" s="36">
        <v>60000</v>
      </c>
      <c r="I114" s="36">
        <v>145000</v>
      </c>
    </row>
    <row r="115" spans="1:9" x14ac:dyDescent="0.35">
      <c r="A115" s="35" t="s">
        <v>575</v>
      </c>
      <c r="B115" s="35" t="s">
        <v>359</v>
      </c>
      <c r="C115" s="37" t="s">
        <v>444</v>
      </c>
      <c r="D115" s="35" t="s">
        <v>367</v>
      </c>
      <c r="E115" s="37" t="s">
        <v>8</v>
      </c>
      <c r="F115" s="37" t="s">
        <v>19</v>
      </c>
      <c r="G115" s="35">
        <v>946</v>
      </c>
      <c r="H115" s="36">
        <v>60000</v>
      </c>
      <c r="I115" s="36">
        <v>145000</v>
      </c>
    </row>
    <row r="116" spans="1:9" x14ac:dyDescent="0.35">
      <c r="A116" s="35" t="s">
        <v>576</v>
      </c>
      <c r="B116" s="35" t="s">
        <v>360</v>
      </c>
      <c r="C116" s="37" t="s">
        <v>413</v>
      </c>
      <c r="D116" s="35" t="s">
        <v>369</v>
      </c>
      <c r="E116" s="37" t="s">
        <v>8</v>
      </c>
      <c r="F116" s="37" t="s">
        <v>20</v>
      </c>
      <c r="G116" s="35">
        <v>450</v>
      </c>
      <c r="H116" s="36">
        <v>155000</v>
      </c>
      <c r="I116" s="36">
        <v>230000</v>
      </c>
    </row>
    <row r="117" spans="1:9" x14ac:dyDescent="0.35">
      <c r="A117" s="35" t="s">
        <v>577</v>
      </c>
      <c r="B117" s="35" t="s">
        <v>360</v>
      </c>
      <c r="C117" s="37" t="s">
        <v>413</v>
      </c>
      <c r="D117" s="35" t="s">
        <v>369</v>
      </c>
      <c r="E117" s="37" t="s">
        <v>8</v>
      </c>
      <c r="F117" s="37" t="s">
        <v>11</v>
      </c>
      <c r="G117" s="35">
        <v>310</v>
      </c>
      <c r="H117" s="36">
        <v>155000</v>
      </c>
      <c r="I117" s="36">
        <v>230000</v>
      </c>
    </row>
    <row r="118" spans="1:9" x14ac:dyDescent="0.35">
      <c r="A118" s="35" t="s">
        <v>578</v>
      </c>
      <c r="B118" s="35" t="s">
        <v>360</v>
      </c>
      <c r="C118" s="37" t="s">
        <v>413</v>
      </c>
      <c r="D118" s="35" t="s">
        <v>369</v>
      </c>
      <c r="E118" s="37" t="s">
        <v>8</v>
      </c>
      <c r="F118" s="37" t="s">
        <v>15</v>
      </c>
      <c r="G118" s="35">
        <v>408</v>
      </c>
      <c r="H118" s="36">
        <v>155000</v>
      </c>
      <c r="I118" s="36">
        <v>230000</v>
      </c>
    </row>
    <row r="119" spans="1:9" x14ac:dyDescent="0.35">
      <c r="A119" s="35" t="s">
        <v>579</v>
      </c>
      <c r="B119" s="35" t="s">
        <v>360</v>
      </c>
      <c r="C119" s="37" t="s">
        <v>413</v>
      </c>
      <c r="D119" s="35" t="s">
        <v>369</v>
      </c>
      <c r="E119" s="37" t="s">
        <v>445</v>
      </c>
      <c r="F119" s="37" t="s">
        <v>20</v>
      </c>
      <c r="G119" s="35">
        <v>356</v>
      </c>
      <c r="H119" s="36">
        <v>155000</v>
      </c>
      <c r="I119" s="36">
        <v>230000</v>
      </c>
    </row>
    <row r="120" spans="1:9" x14ac:dyDescent="0.35">
      <c r="A120" s="35" t="s">
        <v>580</v>
      </c>
      <c r="B120" s="35" t="s">
        <v>360</v>
      </c>
      <c r="C120" s="37" t="s">
        <v>413</v>
      </c>
      <c r="D120" s="35" t="s">
        <v>369</v>
      </c>
      <c r="E120" s="37" t="s">
        <v>445</v>
      </c>
      <c r="F120" s="37" t="s">
        <v>11</v>
      </c>
      <c r="G120" s="35">
        <v>284</v>
      </c>
      <c r="H120" s="36">
        <v>155000</v>
      </c>
      <c r="I120" s="36">
        <v>230000</v>
      </c>
    </row>
    <row r="121" spans="1:9" x14ac:dyDescent="0.35">
      <c r="A121" s="35" t="s">
        <v>581</v>
      </c>
      <c r="B121" s="35" t="s">
        <v>360</v>
      </c>
      <c r="C121" s="37" t="s">
        <v>413</v>
      </c>
      <c r="D121" s="35" t="s">
        <v>369</v>
      </c>
      <c r="E121" s="37" t="s">
        <v>445</v>
      </c>
      <c r="F121" s="37" t="s">
        <v>15</v>
      </c>
      <c r="G121" s="35">
        <v>453</v>
      </c>
      <c r="H121" s="36">
        <v>155000</v>
      </c>
      <c r="I121" s="36">
        <v>230000</v>
      </c>
    </row>
    <row r="122" spans="1:9" x14ac:dyDescent="0.35">
      <c r="A122" s="35" t="s">
        <v>582</v>
      </c>
      <c r="B122" s="35" t="s">
        <v>360</v>
      </c>
      <c r="C122" s="37" t="s">
        <v>417</v>
      </c>
      <c r="D122" s="35" t="s">
        <v>369</v>
      </c>
      <c r="E122" s="37" t="s">
        <v>8</v>
      </c>
      <c r="F122" s="37" t="s">
        <v>20</v>
      </c>
      <c r="G122" s="35">
        <v>555</v>
      </c>
      <c r="H122" s="36">
        <v>155000</v>
      </c>
      <c r="I122" s="36">
        <v>230000</v>
      </c>
    </row>
    <row r="123" spans="1:9" x14ac:dyDescent="0.35">
      <c r="A123" s="35" t="s">
        <v>583</v>
      </c>
      <c r="B123" s="35" t="s">
        <v>360</v>
      </c>
      <c r="C123" s="37" t="s">
        <v>417</v>
      </c>
      <c r="D123" s="35" t="s">
        <v>369</v>
      </c>
      <c r="E123" s="37" t="s">
        <v>8</v>
      </c>
      <c r="F123" s="37" t="s">
        <v>11</v>
      </c>
      <c r="G123" s="35">
        <v>714</v>
      </c>
      <c r="H123" s="36">
        <v>155000</v>
      </c>
      <c r="I123" s="36">
        <v>230000</v>
      </c>
    </row>
    <row r="124" spans="1:9" x14ac:dyDescent="0.35">
      <c r="A124" s="35" t="s">
        <v>584</v>
      </c>
      <c r="B124" s="35" t="s">
        <v>360</v>
      </c>
      <c r="C124" s="37" t="s">
        <v>417</v>
      </c>
      <c r="D124" s="35" t="s">
        <v>369</v>
      </c>
      <c r="E124" s="37" t="s">
        <v>8</v>
      </c>
      <c r="F124" s="37" t="s">
        <v>15</v>
      </c>
      <c r="G124" s="35">
        <v>470</v>
      </c>
      <c r="H124" s="36">
        <v>155000</v>
      </c>
      <c r="I124" s="36">
        <v>230000</v>
      </c>
    </row>
    <row r="125" spans="1:9" x14ac:dyDescent="0.35">
      <c r="A125" s="35" t="s">
        <v>585</v>
      </c>
      <c r="B125" s="35" t="s">
        <v>360</v>
      </c>
      <c r="C125" s="37" t="s">
        <v>417</v>
      </c>
      <c r="D125" s="35" t="s">
        <v>369</v>
      </c>
      <c r="E125" s="37" t="s">
        <v>446</v>
      </c>
      <c r="F125" s="37" t="s">
        <v>20</v>
      </c>
      <c r="G125" s="35">
        <v>700</v>
      </c>
      <c r="H125" s="36">
        <v>155000</v>
      </c>
      <c r="I125" s="36">
        <v>230000</v>
      </c>
    </row>
    <row r="126" spans="1:9" x14ac:dyDescent="0.35">
      <c r="A126" s="35" t="s">
        <v>586</v>
      </c>
      <c r="B126" s="35" t="s">
        <v>360</v>
      </c>
      <c r="C126" s="37" t="s">
        <v>417</v>
      </c>
      <c r="D126" s="35" t="s">
        <v>369</v>
      </c>
      <c r="E126" s="37" t="s">
        <v>446</v>
      </c>
      <c r="F126" s="37" t="s">
        <v>11</v>
      </c>
      <c r="G126" s="35">
        <v>333</v>
      </c>
      <c r="H126" s="36">
        <v>155000</v>
      </c>
      <c r="I126" s="36">
        <v>230000</v>
      </c>
    </row>
    <row r="127" spans="1:9" x14ac:dyDescent="0.35">
      <c r="A127" s="35" t="s">
        <v>587</v>
      </c>
      <c r="B127" s="35" t="s">
        <v>360</v>
      </c>
      <c r="C127" s="37" t="s">
        <v>417</v>
      </c>
      <c r="D127" s="35" t="s">
        <v>369</v>
      </c>
      <c r="E127" s="37" t="s">
        <v>446</v>
      </c>
      <c r="F127" s="37" t="s">
        <v>15</v>
      </c>
      <c r="G127" s="35">
        <v>447</v>
      </c>
      <c r="H127" s="36">
        <v>155000</v>
      </c>
      <c r="I127" s="36">
        <v>230000</v>
      </c>
    </row>
    <row r="128" spans="1:9" x14ac:dyDescent="0.35">
      <c r="A128" s="35" t="s">
        <v>588</v>
      </c>
      <c r="B128" s="35" t="s">
        <v>360</v>
      </c>
      <c r="C128" s="37" t="s">
        <v>412</v>
      </c>
      <c r="D128" s="35" t="s">
        <v>369</v>
      </c>
      <c r="E128" s="37" t="s">
        <v>9</v>
      </c>
      <c r="F128" s="37" t="s">
        <v>20</v>
      </c>
      <c r="G128" s="35">
        <v>441</v>
      </c>
      <c r="H128" s="36">
        <v>155000</v>
      </c>
      <c r="I128" s="36">
        <v>230000</v>
      </c>
    </row>
    <row r="129" spans="1:9" x14ac:dyDescent="0.35">
      <c r="A129" s="35" t="s">
        <v>589</v>
      </c>
      <c r="B129" s="35" t="s">
        <v>360</v>
      </c>
      <c r="C129" s="37" t="s">
        <v>412</v>
      </c>
      <c r="D129" s="35" t="s">
        <v>369</v>
      </c>
      <c r="E129" s="37" t="s">
        <v>9</v>
      </c>
      <c r="F129" s="37" t="s">
        <v>11</v>
      </c>
      <c r="G129" s="35">
        <v>434</v>
      </c>
      <c r="H129" s="36">
        <v>155000</v>
      </c>
      <c r="I129" s="36">
        <v>230000</v>
      </c>
    </row>
    <row r="130" spans="1:9" x14ac:dyDescent="0.35">
      <c r="A130" s="35" t="s">
        <v>590</v>
      </c>
      <c r="B130" s="35" t="s">
        <v>360</v>
      </c>
      <c r="C130" s="37" t="s">
        <v>412</v>
      </c>
      <c r="D130" s="35" t="s">
        <v>369</v>
      </c>
      <c r="E130" s="37" t="s">
        <v>9</v>
      </c>
      <c r="F130" s="37" t="s">
        <v>15</v>
      </c>
      <c r="G130" s="35">
        <v>267</v>
      </c>
      <c r="H130" s="36">
        <v>155000</v>
      </c>
      <c r="I130" s="36">
        <v>230000</v>
      </c>
    </row>
    <row r="131" spans="1:9" x14ac:dyDescent="0.35">
      <c r="A131" s="35" t="s">
        <v>591</v>
      </c>
      <c r="B131" s="35" t="s">
        <v>360</v>
      </c>
      <c r="C131" s="37" t="s">
        <v>412</v>
      </c>
      <c r="D131" s="35" t="s">
        <v>369</v>
      </c>
      <c r="E131" s="37" t="s">
        <v>448</v>
      </c>
      <c r="F131" s="37" t="s">
        <v>20</v>
      </c>
      <c r="G131" s="35">
        <v>315</v>
      </c>
      <c r="H131" s="36">
        <v>155000</v>
      </c>
      <c r="I131" s="36">
        <v>230000</v>
      </c>
    </row>
    <row r="132" spans="1:9" x14ac:dyDescent="0.35">
      <c r="A132" s="35" t="s">
        <v>592</v>
      </c>
      <c r="B132" s="35" t="s">
        <v>360</v>
      </c>
      <c r="C132" s="37" t="s">
        <v>412</v>
      </c>
      <c r="D132" s="35" t="s">
        <v>369</v>
      </c>
      <c r="E132" s="37" t="s">
        <v>448</v>
      </c>
      <c r="F132" s="37" t="s">
        <v>11</v>
      </c>
      <c r="G132" s="35">
        <v>411</v>
      </c>
      <c r="H132" s="36">
        <v>155000</v>
      </c>
      <c r="I132" s="36">
        <v>230000</v>
      </c>
    </row>
    <row r="133" spans="1:9" x14ac:dyDescent="0.35">
      <c r="A133" s="35" t="s">
        <v>593</v>
      </c>
      <c r="B133" s="35" t="s">
        <v>360</v>
      </c>
      <c r="C133" s="37" t="s">
        <v>412</v>
      </c>
      <c r="D133" s="35" t="s">
        <v>369</v>
      </c>
      <c r="E133" s="37" t="s">
        <v>448</v>
      </c>
      <c r="F133" s="37" t="s">
        <v>15</v>
      </c>
      <c r="G133" s="35">
        <v>694</v>
      </c>
      <c r="H133" s="36">
        <v>155000</v>
      </c>
      <c r="I133" s="36">
        <v>230000</v>
      </c>
    </row>
    <row r="134" spans="1:9" x14ac:dyDescent="0.35">
      <c r="A134" s="35" t="s">
        <v>594</v>
      </c>
      <c r="B134" s="35" t="s">
        <v>360</v>
      </c>
      <c r="C134" s="37" t="s">
        <v>449</v>
      </c>
      <c r="D134" s="35" t="s">
        <v>369</v>
      </c>
      <c r="E134" s="37" t="s">
        <v>8</v>
      </c>
      <c r="F134" s="37" t="s">
        <v>20</v>
      </c>
      <c r="G134" s="35">
        <v>450</v>
      </c>
      <c r="H134" s="36">
        <v>155000</v>
      </c>
      <c r="I134" s="36">
        <v>230000</v>
      </c>
    </row>
    <row r="135" spans="1:9" x14ac:dyDescent="0.35">
      <c r="A135" s="35" t="s">
        <v>595</v>
      </c>
      <c r="B135" s="35" t="s">
        <v>360</v>
      </c>
      <c r="C135" s="37" t="s">
        <v>449</v>
      </c>
      <c r="D135" s="35" t="s">
        <v>369</v>
      </c>
      <c r="E135" s="37" t="s">
        <v>8</v>
      </c>
      <c r="F135" s="37" t="s">
        <v>11</v>
      </c>
      <c r="G135" s="35">
        <v>722</v>
      </c>
      <c r="H135" s="36">
        <v>155000</v>
      </c>
      <c r="I135" s="36">
        <v>230000</v>
      </c>
    </row>
    <row r="136" spans="1:9" x14ac:dyDescent="0.35">
      <c r="A136" s="35" t="s">
        <v>596</v>
      </c>
      <c r="B136" s="35" t="s">
        <v>360</v>
      </c>
      <c r="C136" s="37" t="s">
        <v>449</v>
      </c>
      <c r="D136" s="35" t="s">
        <v>369</v>
      </c>
      <c r="E136" s="37" t="s">
        <v>8</v>
      </c>
      <c r="F136" s="37" t="s">
        <v>15</v>
      </c>
      <c r="G136" s="35">
        <v>700</v>
      </c>
      <c r="H136" s="36">
        <v>155000</v>
      </c>
      <c r="I136" s="36">
        <v>230000</v>
      </c>
    </row>
    <row r="137" spans="1:9" x14ac:dyDescent="0.35">
      <c r="A137" s="35" t="s">
        <v>597</v>
      </c>
      <c r="B137" s="35" t="s">
        <v>360</v>
      </c>
      <c r="C137" s="37" t="s">
        <v>449</v>
      </c>
      <c r="D137" s="35" t="s">
        <v>369</v>
      </c>
      <c r="E137" s="37" t="s">
        <v>30</v>
      </c>
      <c r="F137" s="37" t="s">
        <v>20</v>
      </c>
      <c r="G137" s="35">
        <v>690</v>
      </c>
      <c r="H137" s="36">
        <v>155000</v>
      </c>
      <c r="I137" s="36">
        <v>230000</v>
      </c>
    </row>
    <row r="138" spans="1:9" x14ac:dyDescent="0.35">
      <c r="A138" s="35" t="s">
        <v>598</v>
      </c>
      <c r="B138" s="35" t="s">
        <v>360</v>
      </c>
      <c r="C138" s="37" t="s">
        <v>449</v>
      </c>
      <c r="D138" s="35" t="s">
        <v>369</v>
      </c>
      <c r="E138" s="37" t="s">
        <v>30</v>
      </c>
      <c r="F138" s="37" t="s">
        <v>11</v>
      </c>
      <c r="G138" s="35">
        <v>714</v>
      </c>
      <c r="H138" s="36">
        <v>155000</v>
      </c>
      <c r="I138" s="36">
        <v>230000</v>
      </c>
    </row>
    <row r="139" spans="1:9" x14ac:dyDescent="0.35">
      <c r="A139" s="35" t="s">
        <v>599</v>
      </c>
      <c r="B139" s="35" t="s">
        <v>360</v>
      </c>
      <c r="C139" s="37" t="s">
        <v>449</v>
      </c>
      <c r="D139" s="35" t="s">
        <v>369</v>
      </c>
      <c r="E139" s="37" t="s">
        <v>30</v>
      </c>
      <c r="F139" s="37" t="s">
        <v>15</v>
      </c>
      <c r="G139" s="35">
        <v>740</v>
      </c>
      <c r="H139" s="36">
        <v>155000</v>
      </c>
      <c r="I139" s="36">
        <v>230000</v>
      </c>
    </row>
    <row r="140" spans="1:9" x14ac:dyDescent="0.35">
      <c r="A140" s="35" t="s">
        <v>600</v>
      </c>
      <c r="B140" s="35" t="s">
        <v>361</v>
      </c>
      <c r="C140" s="37" t="s">
        <v>423</v>
      </c>
      <c r="D140" s="35" t="s">
        <v>370</v>
      </c>
      <c r="E140" s="37" t="s">
        <v>9</v>
      </c>
      <c r="F140" s="37" t="s">
        <v>20</v>
      </c>
      <c r="G140" s="35">
        <v>235</v>
      </c>
      <c r="H140" s="36">
        <v>250000</v>
      </c>
      <c r="I140" s="36">
        <v>380000</v>
      </c>
    </row>
    <row r="141" spans="1:9" x14ac:dyDescent="0.35">
      <c r="A141" s="35" t="s">
        <v>601</v>
      </c>
      <c r="B141" s="35" t="s">
        <v>361</v>
      </c>
      <c r="C141" s="37" t="s">
        <v>423</v>
      </c>
      <c r="D141" s="35" t="s">
        <v>370</v>
      </c>
      <c r="E141" s="37" t="s">
        <v>9</v>
      </c>
      <c r="F141" s="37" t="s">
        <v>11</v>
      </c>
      <c r="G141" s="35">
        <v>525</v>
      </c>
      <c r="H141" s="36">
        <v>250000</v>
      </c>
      <c r="I141" s="36">
        <v>380000</v>
      </c>
    </row>
    <row r="142" spans="1:9" x14ac:dyDescent="0.35">
      <c r="A142" s="35" t="s">
        <v>602</v>
      </c>
      <c r="B142" s="35" t="s">
        <v>361</v>
      </c>
      <c r="C142" s="37" t="s">
        <v>423</v>
      </c>
      <c r="D142" s="35" t="s">
        <v>370</v>
      </c>
      <c r="E142" s="37" t="s">
        <v>9</v>
      </c>
      <c r="F142" s="37" t="s">
        <v>15</v>
      </c>
      <c r="G142" s="35">
        <v>578</v>
      </c>
      <c r="H142" s="36">
        <v>250000</v>
      </c>
      <c r="I142" s="36">
        <v>380000</v>
      </c>
    </row>
    <row r="143" spans="1:9" x14ac:dyDescent="0.35">
      <c r="A143" s="35" t="s">
        <v>603</v>
      </c>
      <c r="B143" s="35" t="s">
        <v>361</v>
      </c>
      <c r="C143" s="37" t="s">
        <v>423</v>
      </c>
      <c r="D143" s="35" t="s">
        <v>370</v>
      </c>
      <c r="E143" s="37" t="s">
        <v>9</v>
      </c>
      <c r="F143" s="37" t="s">
        <v>12</v>
      </c>
      <c r="G143" s="35">
        <v>501</v>
      </c>
      <c r="H143" s="36">
        <v>250000</v>
      </c>
      <c r="I143" s="36">
        <v>380000</v>
      </c>
    </row>
    <row r="144" spans="1:9" x14ac:dyDescent="0.35">
      <c r="A144" s="35" t="s">
        <v>604</v>
      </c>
      <c r="B144" s="35" t="s">
        <v>361</v>
      </c>
      <c r="C144" s="37" t="s">
        <v>423</v>
      </c>
      <c r="D144" s="35" t="s">
        <v>370</v>
      </c>
      <c r="E144" s="37" t="s">
        <v>9</v>
      </c>
      <c r="F144" s="37" t="s">
        <v>19</v>
      </c>
      <c r="G144" s="35">
        <v>187</v>
      </c>
      <c r="H144" s="36">
        <v>250000</v>
      </c>
      <c r="I144" s="36">
        <v>380000</v>
      </c>
    </row>
    <row r="145" spans="1:9" x14ac:dyDescent="0.35">
      <c r="A145" s="35" t="s">
        <v>605</v>
      </c>
      <c r="B145" s="35" t="s">
        <v>361</v>
      </c>
      <c r="C145" s="37" t="s">
        <v>423</v>
      </c>
      <c r="D145" s="35" t="s">
        <v>370</v>
      </c>
      <c r="E145" s="37" t="s">
        <v>450</v>
      </c>
      <c r="F145" s="37" t="s">
        <v>20</v>
      </c>
      <c r="G145" s="35">
        <v>580</v>
      </c>
      <c r="H145" s="36">
        <v>250000</v>
      </c>
      <c r="I145" s="36">
        <v>380000</v>
      </c>
    </row>
    <row r="146" spans="1:9" x14ac:dyDescent="0.35">
      <c r="A146" s="35" t="s">
        <v>606</v>
      </c>
      <c r="B146" s="35" t="s">
        <v>361</v>
      </c>
      <c r="C146" s="37" t="s">
        <v>423</v>
      </c>
      <c r="D146" s="35" t="s">
        <v>370</v>
      </c>
      <c r="E146" s="37" t="s">
        <v>450</v>
      </c>
      <c r="F146" s="37" t="s">
        <v>11</v>
      </c>
      <c r="G146" s="35">
        <v>617</v>
      </c>
      <c r="H146" s="36">
        <v>250000</v>
      </c>
      <c r="I146" s="36">
        <v>380000</v>
      </c>
    </row>
    <row r="147" spans="1:9" x14ac:dyDescent="0.35">
      <c r="A147" s="35" t="s">
        <v>607</v>
      </c>
      <c r="B147" s="35" t="s">
        <v>361</v>
      </c>
      <c r="C147" s="37" t="s">
        <v>423</v>
      </c>
      <c r="D147" s="35" t="s">
        <v>370</v>
      </c>
      <c r="E147" s="37" t="s">
        <v>450</v>
      </c>
      <c r="F147" s="37" t="s">
        <v>15</v>
      </c>
      <c r="G147" s="35">
        <v>287</v>
      </c>
      <c r="H147" s="36">
        <v>250000</v>
      </c>
      <c r="I147" s="36">
        <v>380000</v>
      </c>
    </row>
    <row r="148" spans="1:9" x14ac:dyDescent="0.35">
      <c r="A148" s="35" t="s">
        <v>608</v>
      </c>
      <c r="B148" s="35" t="s">
        <v>361</v>
      </c>
      <c r="C148" s="37" t="s">
        <v>423</v>
      </c>
      <c r="D148" s="35" t="s">
        <v>370</v>
      </c>
      <c r="E148" s="37" t="s">
        <v>450</v>
      </c>
      <c r="F148" s="37" t="s">
        <v>12</v>
      </c>
      <c r="G148" s="35">
        <v>527</v>
      </c>
      <c r="H148" s="36">
        <v>250000</v>
      </c>
      <c r="I148" s="36">
        <v>380000</v>
      </c>
    </row>
    <row r="149" spans="1:9" x14ac:dyDescent="0.35">
      <c r="A149" s="35" t="s">
        <v>609</v>
      </c>
      <c r="B149" s="35" t="s">
        <v>361</v>
      </c>
      <c r="C149" s="37" t="s">
        <v>423</v>
      </c>
      <c r="D149" s="35" t="s">
        <v>370</v>
      </c>
      <c r="E149" s="37" t="s">
        <v>450</v>
      </c>
      <c r="F149" s="37" t="s">
        <v>19</v>
      </c>
      <c r="G149" s="35">
        <v>251</v>
      </c>
      <c r="H149" s="36">
        <v>250000</v>
      </c>
      <c r="I149" s="36">
        <v>380000</v>
      </c>
    </row>
    <row r="150" spans="1:9" x14ac:dyDescent="0.35">
      <c r="A150" s="35" t="s">
        <v>610</v>
      </c>
      <c r="B150" s="35" t="s">
        <v>361</v>
      </c>
      <c r="C150" s="37" t="s">
        <v>424</v>
      </c>
      <c r="D150" s="35" t="s">
        <v>370</v>
      </c>
      <c r="E150" s="37" t="s">
        <v>451</v>
      </c>
      <c r="F150" s="37" t="s">
        <v>20</v>
      </c>
      <c r="G150" s="35">
        <v>578</v>
      </c>
      <c r="H150" s="36">
        <v>250000</v>
      </c>
      <c r="I150" s="36">
        <v>380000</v>
      </c>
    </row>
    <row r="151" spans="1:9" x14ac:dyDescent="0.35">
      <c r="A151" s="35" t="s">
        <v>611</v>
      </c>
      <c r="B151" s="35" t="s">
        <v>361</v>
      </c>
      <c r="C151" s="37" t="s">
        <v>424</v>
      </c>
      <c r="D151" s="35" t="s">
        <v>370</v>
      </c>
      <c r="E151" s="37" t="s">
        <v>451</v>
      </c>
      <c r="F151" s="37" t="s">
        <v>11</v>
      </c>
      <c r="G151" s="35">
        <v>818</v>
      </c>
      <c r="H151" s="36">
        <v>250000</v>
      </c>
      <c r="I151" s="36">
        <v>380000</v>
      </c>
    </row>
    <row r="152" spans="1:9" x14ac:dyDescent="0.35">
      <c r="A152" s="35" t="s">
        <v>612</v>
      </c>
      <c r="B152" s="35" t="s">
        <v>361</v>
      </c>
      <c r="C152" s="37" t="s">
        <v>424</v>
      </c>
      <c r="D152" s="35" t="s">
        <v>370</v>
      </c>
      <c r="E152" s="37" t="s">
        <v>451</v>
      </c>
      <c r="F152" s="37" t="s">
        <v>15</v>
      </c>
      <c r="G152" s="35">
        <v>576</v>
      </c>
      <c r="H152" s="36">
        <v>250000</v>
      </c>
      <c r="I152" s="36">
        <v>380000</v>
      </c>
    </row>
    <row r="153" spans="1:9" x14ac:dyDescent="0.35">
      <c r="A153" s="35" t="s">
        <v>613</v>
      </c>
      <c r="B153" s="35" t="s">
        <v>361</v>
      </c>
      <c r="C153" s="37" t="s">
        <v>424</v>
      </c>
      <c r="D153" s="35" t="s">
        <v>370</v>
      </c>
      <c r="E153" s="37" t="s">
        <v>451</v>
      </c>
      <c r="F153" s="37" t="s">
        <v>12</v>
      </c>
      <c r="G153" s="35">
        <v>314</v>
      </c>
      <c r="H153" s="36">
        <v>250000</v>
      </c>
      <c r="I153" s="36">
        <v>380000</v>
      </c>
    </row>
    <row r="154" spans="1:9" x14ac:dyDescent="0.35">
      <c r="A154" s="35" t="s">
        <v>614</v>
      </c>
      <c r="B154" s="35" t="s">
        <v>361</v>
      </c>
      <c r="C154" s="37" t="s">
        <v>424</v>
      </c>
      <c r="D154" s="35" t="s">
        <v>370</v>
      </c>
      <c r="E154" s="37" t="s">
        <v>451</v>
      </c>
      <c r="F154" s="37" t="s">
        <v>19</v>
      </c>
      <c r="G154" s="35">
        <v>608</v>
      </c>
      <c r="H154" s="36">
        <v>250000</v>
      </c>
      <c r="I154" s="36">
        <v>380000</v>
      </c>
    </row>
    <row r="155" spans="1:9" x14ac:dyDescent="0.35">
      <c r="A155" s="35" t="s">
        <v>615</v>
      </c>
      <c r="B155" s="35" t="s">
        <v>361</v>
      </c>
      <c r="C155" s="37" t="s">
        <v>424</v>
      </c>
      <c r="D155" s="35" t="s">
        <v>370</v>
      </c>
      <c r="E155" s="37" t="s">
        <v>8</v>
      </c>
      <c r="F155" s="37" t="s">
        <v>20</v>
      </c>
      <c r="G155" s="35">
        <v>678</v>
      </c>
      <c r="H155" s="36">
        <v>250000</v>
      </c>
      <c r="I155" s="36">
        <v>380000</v>
      </c>
    </row>
    <row r="156" spans="1:9" x14ac:dyDescent="0.35">
      <c r="A156" s="35" t="s">
        <v>616</v>
      </c>
      <c r="B156" s="35" t="s">
        <v>361</v>
      </c>
      <c r="C156" s="37" t="s">
        <v>424</v>
      </c>
      <c r="D156" s="35" t="s">
        <v>370</v>
      </c>
      <c r="E156" s="37" t="s">
        <v>8</v>
      </c>
      <c r="F156" s="37" t="s">
        <v>11</v>
      </c>
      <c r="G156" s="35">
        <v>452</v>
      </c>
      <c r="H156" s="36">
        <v>250000</v>
      </c>
      <c r="I156" s="36">
        <v>380000</v>
      </c>
    </row>
    <row r="157" spans="1:9" x14ac:dyDescent="0.35">
      <c r="A157" s="35" t="s">
        <v>617</v>
      </c>
      <c r="B157" s="35" t="s">
        <v>361</v>
      </c>
      <c r="C157" s="37" t="s">
        <v>424</v>
      </c>
      <c r="D157" s="35" t="s">
        <v>370</v>
      </c>
      <c r="E157" s="37" t="s">
        <v>8</v>
      </c>
      <c r="F157" s="37" t="s">
        <v>15</v>
      </c>
      <c r="G157" s="35">
        <v>427</v>
      </c>
      <c r="H157" s="36">
        <v>250000</v>
      </c>
      <c r="I157" s="36">
        <v>380000</v>
      </c>
    </row>
    <row r="158" spans="1:9" x14ac:dyDescent="0.35">
      <c r="A158" s="35" t="s">
        <v>618</v>
      </c>
      <c r="B158" s="35" t="s">
        <v>361</v>
      </c>
      <c r="C158" s="37" t="s">
        <v>424</v>
      </c>
      <c r="D158" s="35" t="s">
        <v>370</v>
      </c>
      <c r="E158" s="37" t="s">
        <v>8</v>
      </c>
      <c r="F158" s="37" t="s">
        <v>12</v>
      </c>
      <c r="G158" s="35">
        <v>560</v>
      </c>
      <c r="H158" s="36">
        <v>250000</v>
      </c>
      <c r="I158" s="36">
        <v>380000</v>
      </c>
    </row>
    <row r="159" spans="1:9" x14ac:dyDescent="0.35">
      <c r="A159" s="35" t="s">
        <v>619</v>
      </c>
      <c r="B159" s="35" t="s">
        <v>361</v>
      </c>
      <c r="C159" s="37" t="s">
        <v>424</v>
      </c>
      <c r="D159" s="35" t="s">
        <v>370</v>
      </c>
      <c r="E159" s="37" t="s">
        <v>8</v>
      </c>
      <c r="F159" s="37" t="s">
        <v>19</v>
      </c>
      <c r="G159" s="35">
        <v>361</v>
      </c>
      <c r="H159" s="36">
        <v>250000</v>
      </c>
      <c r="I159" s="36">
        <v>380000</v>
      </c>
    </row>
    <row r="160" spans="1:9" x14ac:dyDescent="0.35">
      <c r="A160" s="35" t="s">
        <v>620</v>
      </c>
      <c r="B160" s="35" t="s">
        <v>361</v>
      </c>
      <c r="C160" s="37" t="s">
        <v>408</v>
      </c>
      <c r="D160" s="35" t="s">
        <v>371</v>
      </c>
      <c r="E160" s="37" t="s">
        <v>9</v>
      </c>
      <c r="F160" s="37" t="s">
        <v>20</v>
      </c>
      <c r="G160" s="35">
        <v>634</v>
      </c>
      <c r="H160" s="36">
        <v>110000</v>
      </c>
      <c r="I160" s="36">
        <v>190000</v>
      </c>
    </row>
    <row r="161" spans="1:9" x14ac:dyDescent="0.35">
      <c r="A161" s="35" t="s">
        <v>621</v>
      </c>
      <c r="B161" s="35" t="s">
        <v>361</v>
      </c>
      <c r="C161" s="37" t="s">
        <v>408</v>
      </c>
      <c r="D161" s="35" t="s">
        <v>371</v>
      </c>
      <c r="E161" s="37" t="s">
        <v>9</v>
      </c>
      <c r="F161" s="37" t="s">
        <v>11</v>
      </c>
      <c r="G161" s="35">
        <v>570</v>
      </c>
      <c r="H161" s="36">
        <v>110000</v>
      </c>
      <c r="I161" s="36">
        <v>190000</v>
      </c>
    </row>
    <row r="162" spans="1:9" x14ac:dyDescent="0.35">
      <c r="A162" s="35" t="s">
        <v>622</v>
      </c>
      <c r="B162" s="35" t="s">
        <v>361</v>
      </c>
      <c r="C162" s="37" t="s">
        <v>408</v>
      </c>
      <c r="D162" s="35" t="s">
        <v>371</v>
      </c>
      <c r="E162" s="37" t="s">
        <v>9</v>
      </c>
      <c r="F162" s="37" t="s">
        <v>15</v>
      </c>
      <c r="G162" s="35">
        <v>395</v>
      </c>
      <c r="H162" s="36">
        <v>110000</v>
      </c>
      <c r="I162" s="36">
        <v>190000</v>
      </c>
    </row>
    <row r="163" spans="1:9" x14ac:dyDescent="0.35">
      <c r="A163" s="35" t="s">
        <v>623</v>
      </c>
      <c r="B163" s="35" t="s">
        <v>361</v>
      </c>
      <c r="C163" s="37" t="s">
        <v>408</v>
      </c>
      <c r="D163" s="35" t="s">
        <v>371</v>
      </c>
      <c r="E163" s="37" t="s">
        <v>9</v>
      </c>
      <c r="F163" s="37" t="s">
        <v>12</v>
      </c>
      <c r="G163" s="35">
        <v>543</v>
      </c>
      <c r="H163" s="36">
        <v>110000</v>
      </c>
      <c r="I163" s="36">
        <v>190000</v>
      </c>
    </row>
    <row r="164" spans="1:9" x14ac:dyDescent="0.35">
      <c r="A164" s="35" t="s">
        <v>624</v>
      </c>
      <c r="B164" s="35" t="s">
        <v>361</v>
      </c>
      <c r="C164" s="37" t="s">
        <v>408</v>
      </c>
      <c r="D164" s="35" t="s">
        <v>371</v>
      </c>
      <c r="E164" s="37" t="s">
        <v>9</v>
      </c>
      <c r="F164" s="37" t="s">
        <v>19</v>
      </c>
      <c r="G164" s="35">
        <v>394</v>
      </c>
      <c r="H164" s="36">
        <v>110000</v>
      </c>
      <c r="I164" s="36">
        <v>190000</v>
      </c>
    </row>
    <row r="165" spans="1:9" x14ac:dyDescent="0.35">
      <c r="A165" s="35" t="s">
        <v>625</v>
      </c>
      <c r="B165" s="35" t="s">
        <v>361</v>
      </c>
      <c r="C165" s="37" t="s">
        <v>408</v>
      </c>
      <c r="D165" s="35" t="s">
        <v>371</v>
      </c>
      <c r="E165" s="37" t="s">
        <v>8</v>
      </c>
      <c r="F165" s="37" t="s">
        <v>20</v>
      </c>
      <c r="G165" s="35">
        <v>690</v>
      </c>
      <c r="H165" s="36">
        <v>110000</v>
      </c>
      <c r="I165" s="36">
        <v>190000</v>
      </c>
    </row>
    <row r="166" spans="1:9" x14ac:dyDescent="0.35">
      <c r="A166" s="35" t="s">
        <v>626</v>
      </c>
      <c r="B166" s="35" t="s">
        <v>361</v>
      </c>
      <c r="C166" s="37" t="s">
        <v>408</v>
      </c>
      <c r="D166" s="35" t="s">
        <v>371</v>
      </c>
      <c r="E166" s="37" t="s">
        <v>8</v>
      </c>
      <c r="F166" s="37" t="s">
        <v>11</v>
      </c>
      <c r="G166" s="35">
        <v>244</v>
      </c>
      <c r="H166" s="36">
        <v>110000</v>
      </c>
      <c r="I166" s="36">
        <v>190000</v>
      </c>
    </row>
    <row r="167" spans="1:9" x14ac:dyDescent="0.35">
      <c r="A167" s="35" t="s">
        <v>627</v>
      </c>
      <c r="B167" s="35" t="s">
        <v>361</v>
      </c>
      <c r="C167" s="37" t="s">
        <v>408</v>
      </c>
      <c r="D167" s="35" t="s">
        <v>371</v>
      </c>
      <c r="E167" s="37" t="s">
        <v>8</v>
      </c>
      <c r="F167" s="37" t="s">
        <v>15</v>
      </c>
      <c r="G167" s="35">
        <v>698</v>
      </c>
      <c r="H167" s="36">
        <v>110000</v>
      </c>
      <c r="I167" s="36">
        <v>190000</v>
      </c>
    </row>
    <row r="168" spans="1:9" x14ac:dyDescent="0.35">
      <c r="A168" s="35" t="s">
        <v>628</v>
      </c>
      <c r="B168" s="35" t="s">
        <v>361</v>
      </c>
      <c r="C168" s="37" t="s">
        <v>408</v>
      </c>
      <c r="D168" s="35" t="s">
        <v>371</v>
      </c>
      <c r="E168" s="37" t="s">
        <v>8</v>
      </c>
      <c r="F168" s="37" t="s">
        <v>12</v>
      </c>
      <c r="G168" s="35">
        <v>532</v>
      </c>
      <c r="H168" s="36">
        <v>110000</v>
      </c>
      <c r="I168" s="36">
        <v>190000</v>
      </c>
    </row>
    <row r="169" spans="1:9" x14ac:dyDescent="0.35">
      <c r="A169" s="35" t="s">
        <v>629</v>
      </c>
      <c r="B169" s="35" t="s">
        <v>361</v>
      </c>
      <c r="C169" s="37" t="s">
        <v>408</v>
      </c>
      <c r="D169" s="35" t="s">
        <v>371</v>
      </c>
      <c r="E169" s="37" t="s">
        <v>8</v>
      </c>
      <c r="F169" s="37" t="s">
        <v>19</v>
      </c>
      <c r="G169" s="35">
        <v>370</v>
      </c>
      <c r="H169" s="36">
        <v>110000</v>
      </c>
      <c r="I169" s="36">
        <v>190000</v>
      </c>
    </row>
    <row r="170" spans="1:9" x14ac:dyDescent="0.35">
      <c r="A170" s="35" t="s">
        <v>630</v>
      </c>
      <c r="B170" s="35" t="s">
        <v>362</v>
      </c>
      <c r="C170" s="37" t="s">
        <v>409</v>
      </c>
      <c r="D170" s="35" t="s">
        <v>371</v>
      </c>
      <c r="E170" s="37" t="s">
        <v>32</v>
      </c>
      <c r="F170" s="37" t="s">
        <v>20</v>
      </c>
      <c r="G170" s="35">
        <v>433</v>
      </c>
      <c r="H170" s="36">
        <v>110000</v>
      </c>
      <c r="I170" s="36">
        <v>190000</v>
      </c>
    </row>
    <row r="171" spans="1:9" x14ac:dyDescent="0.35">
      <c r="A171" s="35" t="s">
        <v>631</v>
      </c>
      <c r="B171" s="35" t="s">
        <v>362</v>
      </c>
      <c r="C171" s="37" t="s">
        <v>409</v>
      </c>
      <c r="D171" s="35" t="s">
        <v>371</v>
      </c>
      <c r="E171" s="37" t="s">
        <v>32</v>
      </c>
      <c r="F171" s="37" t="s">
        <v>11</v>
      </c>
      <c r="G171" s="35">
        <v>541</v>
      </c>
      <c r="H171" s="36">
        <v>110000</v>
      </c>
      <c r="I171" s="36">
        <v>190000</v>
      </c>
    </row>
    <row r="172" spans="1:9" x14ac:dyDescent="0.35">
      <c r="A172" s="35" t="s">
        <v>632</v>
      </c>
      <c r="B172" s="35" t="s">
        <v>362</v>
      </c>
      <c r="C172" s="37" t="s">
        <v>409</v>
      </c>
      <c r="D172" s="35" t="s">
        <v>371</v>
      </c>
      <c r="E172" s="37" t="s">
        <v>32</v>
      </c>
      <c r="F172" s="37" t="s">
        <v>15</v>
      </c>
      <c r="G172" s="35">
        <v>627</v>
      </c>
      <c r="H172" s="36">
        <v>110000</v>
      </c>
      <c r="I172" s="36">
        <v>190000</v>
      </c>
    </row>
    <row r="173" spans="1:9" x14ac:dyDescent="0.35">
      <c r="A173" s="35" t="s">
        <v>633</v>
      </c>
      <c r="B173" s="35" t="s">
        <v>362</v>
      </c>
      <c r="C173" s="37" t="s">
        <v>409</v>
      </c>
      <c r="D173" s="35" t="s">
        <v>371</v>
      </c>
      <c r="E173" s="37" t="s">
        <v>32</v>
      </c>
      <c r="F173" s="37" t="s">
        <v>12</v>
      </c>
      <c r="G173" s="35">
        <v>340</v>
      </c>
      <c r="H173" s="36">
        <v>110000</v>
      </c>
      <c r="I173" s="36">
        <v>190000</v>
      </c>
    </row>
    <row r="174" spans="1:9" x14ac:dyDescent="0.35">
      <c r="A174" s="35" t="s">
        <v>634</v>
      </c>
      <c r="B174" s="35" t="s">
        <v>362</v>
      </c>
      <c r="C174" s="37" t="s">
        <v>409</v>
      </c>
      <c r="D174" s="35" t="s">
        <v>371</v>
      </c>
      <c r="E174" s="37" t="s">
        <v>32</v>
      </c>
      <c r="F174" s="37" t="s">
        <v>19</v>
      </c>
      <c r="G174" s="35">
        <v>357</v>
      </c>
      <c r="H174" s="36">
        <v>110000</v>
      </c>
      <c r="I174" s="36">
        <v>190000</v>
      </c>
    </row>
    <row r="175" spans="1:9" x14ac:dyDescent="0.35">
      <c r="A175" s="35" t="s">
        <v>635</v>
      </c>
      <c r="B175" s="35" t="s">
        <v>362</v>
      </c>
      <c r="C175" s="37" t="s">
        <v>409</v>
      </c>
      <c r="D175" s="35" t="s">
        <v>371</v>
      </c>
      <c r="E175" s="37" t="s">
        <v>8</v>
      </c>
      <c r="F175" s="37" t="s">
        <v>20</v>
      </c>
      <c r="G175" s="35">
        <v>564</v>
      </c>
      <c r="H175" s="36">
        <v>110000</v>
      </c>
      <c r="I175" s="36">
        <v>190000</v>
      </c>
    </row>
    <row r="176" spans="1:9" x14ac:dyDescent="0.35">
      <c r="A176" s="35" t="s">
        <v>636</v>
      </c>
      <c r="B176" s="35" t="s">
        <v>362</v>
      </c>
      <c r="C176" s="37" t="s">
        <v>409</v>
      </c>
      <c r="D176" s="35" t="s">
        <v>371</v>
      </c>
      <c r="E176" s="37" t="s">
        <v>8</v>
      </c>
      <c r="F176" s="37" t="s">
        <v>11</v>
      </c>
      <c r="G176" s="35">
        <v>206</v>
      </c>
      <c r="H176" s="36">
        <v>110000</v>
      </c>
      <c r="I176" s="36">
        <v>190000</v>
      </c>
    </row>
    <row r="177" spans="1:9" x14ac:dyDescent="0.35">
      <c r="A177" s="35" t="s">
        <v>637</v>
      </c>
      <c r="B177" s="35" t="s">
        <v>362</v>
      </c>
      <c r="C177" s="37" t="s">
        <v>409</v>
      </c>
      <c r="D177" s="35" t="s">
        <v>371</v>
      </c>
      <c r="E177" s="37" t="s">
        <v>8</v>
      </c>
      <c r="F177" s="37" t="s">
        <v>15</v>
      </c>
      <c r="G177" s="35">
        <v>743</v>
      </c>
      <c r="H177" s="36">
        <v>110000</v>
      </c>
      <c r="I177" s="36">
        <v>190000</v>
      </c>
    </row>
    <row r="178" spans="1:9" x14ac:dyDescent="0.35">
      <c r="A178" s="35" t="s">
        <v>638</v>
      </c>
      <c r="B178" s="35" t="s">
        <v>362</v>
      </c>
      <c r="C178" s="37" t="s">
        <v>409</v>
      </c>
      <c r="D178" s="35" t="s">
        <v>371</v>
      </c>
      <c r="E178" s="37" t="s">
        <v>8</v>
      </c>
      <c r="F178" s="37" t="s">
        <v>12</v>
      </c>
      <c r="G178" s="35">
        <v>112</v>
      </c>
      <c r="H178" s="36">
        <v>110000</v>
      </c>
      <c r="I178" s="36">
        <v>190000</v>
      </c>
    </row>
    <row r="179" spans="1:9" x14ac:dyDescent="0.35">
      <c r="A179" s="35" t="s">
        <v>639</v>
      </c>
      <c r="B179" s="35" t="s">
        <v>362</v>
      </c>
      <c r="C179" s="37" t="s">
        <v>409</v>
      </c>
      <c r="D179" s="35" t="s">
        <v>371</v>
      </c>
      <c r="E179" s="37" t="s">
        <v>8</v>
      </c>
      <c r="F179" s="37" t="s">
        <v>19</v>
      </c>
      <c r="G179" s="35">
        <v>691</v>
      </c>
      <c r="H179" s="36">
        <v>110000</v>
      </c>
      <c r="I179" s="36">
        <v>190000</v>
      </c>
    </row>
    <row r="180" spans="1:9" x14ac:dyDescent="0.35">
      <c r="A180" s="35" t="s">
        <v>640</v>
      </c>
      <c r="B180" s="35" t="s">
        <v>362</v>
      </c>
      <c r="C180" s="37" t="s">
        <v>433</v>
      </c>
      <c r="D180" s="35" t="s">
        <v>372</v>
      </c>
      <c r="E180" s="37" t="s">
        <v>21</v>
      </c>
      <c r="F180" s="37" t="s">
        <v>20</v>
      </c>
      <c r="G180" s="35">
        <v>479</v>
      </c>
      <c r="H180" s="36">
        <v>140000</v>
      </c>
      <c r="I180" s="36">
        <v>220000</v>
      </c>
    </row>
    <row r="181" spans="1:9" x14ac:dyDescent="0.35">
      <c r="A181" s="35" t="s">
        <v>641</v>
      </c>
      <c r="B181" s="35" t="s">
        <v>362</v>
      </c>
      <c r="C181" s="37" t="s">
        <v>433</v>
      </c>
      <c r="D181" s="35" t="s">
        <v>372</v>
      </c>
      <c r="E181" s="37" t="s">
        <v>21</v>
      </c>
      <c r="F181" s="37" t="s">
        <v>11</v>
      </c>
      <c r="G181" s="35">
        <v>785</v>
      </c>
      <c r="H181" s="36">
        <v>140000</v>
      </c>
      <c r="I181" s="36">
        <v>220000</v>
      </c>
    </row>
    <row r="182" spans="1:9" x14ac:dyDescent="0.35">
      <c r="A182" s="35" t="s">
        <v>642</v>
      </c>
      <c r="B182" s="35" t="s">
        <v>362</v>
      </c>
      <c r="C182" s="37" t="s">
        <v>433</v>
      </c>
      <c r="D182" s="35" t="s">
        <v>372</v>
      </c>
      <c r="E182" s="37" t="s">
        <v>21</v>
      </c>
      <c r="F182" s="37" t="s">
        <v>15</v>
      </c>
      <c r="G182" s="35">
        <v>376</v>
      </c>
      <c r="H182" s="36">
        <v>140000</v>
      </c>
      <c r="I182" s="36">
        <v>220000</v>
      </c>
    </row>
    <row r="183" spans="1:9" x14ac:dyDescent="0.35">
      <c r="A183" s="35" t="s">
        <v>643</v>
      </c>
      <c r="B183" s="35" t="s">
        <v>362</v>
      </c>
      <c r="C183" s="37" t="s">
        <v>433</v>
      </c>
      <c r="D183" s="35" t="s">
        <v>372</v>
      </c>
      <c r="E183" s="37" t="s">
        <v>21</v>
      </c>
      <c r="F183" s="37" t="s">
        <v>12</v>
      </c>
      <c r="G183" s="35">
        <v>181</v>
      </c>
      <c r="H183" s="36">
        <v>140000</v>
      </c>
      <c r="I183" s="36">
        <v>220000</v>
      </c>
    </row>
    <row r="184" spans="1:9" x14ac:dyDescent="0.35">
      <c r="A184" s="35" t="s">
        <v>644</v>
      </c>
      <c r="B184" s="35" t="s">
        <v>362</v>
      </c>
      <c r="C184" s="37" t="s">
        <v>433</v>
      </c>
      <c r="D184" s="35" t="s">
        <v>372</v>
      </c>
      <c r="E184" s="37" t="s">
        <v>21</v>
      </c>
      <c r="F184" s="37" t="s">
        <v>19</v>
      </c>
      <c r="G184" s="35">
        <v>405</v>
      </c>
      <c r="H184" s="36">
        <v>140000</v>
      </c>
      <c r="I184" s="36">
        <v>220000</v>
      </c>
    </row>
    <row r="185" spans="1:9" x14ac:dyDescent="0.35">
      <c r="A185" s="35" t="s">
        <v>645</v>
      </c>
      <c r="B185" s="35" t="s">
        <v>362</v>
      </c>
      <c r="C185" s="37" t="s">
        <v>433</v>
      </c>
      <c r="D185" s="35" t="s">
        <v>372</v>
      </c>
      <c r="E185" s="37" t="s">
        <v>9</v>
      </c>
      <c r="F185" s="37" t="s">
        <v>20</v>
      </c>
      <c r="G185" s="35">
        <v>456</v>
      </c>
      <c r="H185" s="36">
        <v>140000</v>
      </c>
      <c r="I185" s="36">
        <v>220000</v>
      </c>
    </row>
    <row r="186" spans="1:9" x14ac:dyDescent="0.35">
      <c r="A186" s="35" t="s">
        <v>646</v>
      </c>
      <c r="B186" s="35" t="s">
        <v>362</v>
      </c>
      <c r="C186" s="37" t="s">
        <v>433</v>
      </c>
      <c r="D186" s="35" t="s">
        <v>372</v>
      </c>
      <c r="E186" s="37" t="s">
        <v>9</v>
      </c>
      <c r="F186" s="37" t="s">
        <v>11</v>
      </c>
      <c r="G186" s="35">
        <v>213</v>
      </c>
      <c r="H186" s="36">
        <v>140000</v>
      </c>
      <c r="I186" s="36">
        <v>220000</v>
      </c>
    </row>
    <row r="187" spans="1:9" x14ac:dyDescent="0.35">
      <c r="A187" s="35" t="s">
        <v>647</v>
      </c>
      <c r="B187" s="35" t="s">
        <v>362</v>
      </c>
      <c r="C187" s="37" t="s">
        <v>433</v>
      </c>
      <c r="D187" s="35" t="s">
        <v>372</v>
      </c>
      <c r="E187" s="37" t="s">
        <v>9</v>
      </c>
      <c r="F187" s="37" t="s">
        <v>15</v>
      </c>
      <c r="G187" s="35">
        <v>306</v>
      </c>
      <c r="H187" s="36">
        <v>140000</v>
      </c>
      <c r="I187" s="36">
        <v>220000</v>
      </c>
    </row>
    <row r="188" spans="1:9" x14ac:dyDescent="0.35">
      <c r="A188" s="35" t="s">
        <v>648</v>
      </c>
      <c r="B188" s="35" t="s">
        <v>362</v>
      </c>
      <c r="C188" s="37" t="s">
        <v>433</v>
      </c>
      <c r="D188" s="35" t="s">
        <v>372</v>
      </c>
      <c r="E188" s="37" t="s">
        <v>9</v>
      </c>
      <c r="F188" s="37" t="s">
        <v>12</v>
      </c>
      <c r="G188" s="35">
        <v>561</v>
      </c>
      <c r="H188" s="36">
        <v>140000</v>
      </c>
      <c r="I188" s="36">
        <v>220000</v>
      </c>
    </row>
    <row r="189" spans="1:9" x14ac:dyDescent="0.35">
      <c r="A189" s="35" t="s">
        <v>649</v>
      </c>
      <c r="B189" s="35" t="s">
        <v>362</v>
      </c>
      <c r="C189" s="37" t="s">
        <v>433</v>
      </c>
      <c r="D189" s="35" t="s">
        <v>372</v>
      </c>
      <c r="E189" s="37" t="s">
        <v>9</v>
      </c>
      <c r="F189" s="37" t="s">
        <v>19</v>
      </c>
      <c r="G189" s="35">
        <v>842</v>
      </c>
      <c r="H189" s="36">
        <v>140000</v>
      </c>
      <c r="I189" s="36">
        <v>220000</v>
      </c>
    </row>
    <row r="190" spans="1:9" x14ac:dyDescent="0.35">
      <c r="A190" s="35" t="s">
        <v>650</v>
      </c>
      <c r="B190" s="35" t="s">
        <v>363</v>
      </c>
      <c r="C190" s="37" t="s">
        <v>159</v>
      </c>
      <c r="D190" s="35" t="s">
        <v>372</v>
      </c>
      <c r="E190" s="37" t="s">
        <v>9</v>
      </c>
      <c r="F190" s="37" t="s">
        <v>20</v>
      </c>
      <c r="G190" s="35">
        <v>893</v>
      </c>
      <c r="H190" s="36">
        <v>140000</v>
      </c>
      <c r="I190" s="36">
        <v>220000</v>
      </c>
    </row>
    <row r="191" spans="1:9" x14ac:dyDescent="0.35">
      <c r="A191" s="35" t="s">
        <v>651</v>
      </c>
      <c r="B191" s="35" t="s">
        <v>363</v>
      </c>
      <c r="C191" s="37" t="s">
        <v>159</v>
      </c>
      <c r="D191" s="35" t="s">
        <v>372</v>
      </c>
      <c r="E191" s="37" t="s">
        <v>9</v>
      </c>
      <c r="F191" s="37" t="s">
        <v>11</v>
      </c>
      <c r="G191" s="35">
        <v>898</v>
      </c>
      <c r="H191" s="36">
        <v>140000</v>
      </c>
      <c r="I191" s="36">
        <v>220000</v>
      </c>
    </row>
    <row r="192" spans="1:9" x14ac:dyDescent="0.35">
      <c r="A192" s="35" t="s">
        <v>652</v>
      </c>
      <c r="B192" s="35" t="s">
        <v>363</v>
      </c>
      <c r="C192" s="37" t="s">
        <v>159</v>
      </c>
      <c r="D192" s="35" t="s">
        <v>372</v>
      </c>
      <c r="E192" s="37" t="s">
        <v>9</v>
      </c>
      <c r="F192" s="37" t="s">
        <v>15</v>
      </c>
      <c r="G192" s="35">
        <v>400</v>
      </c>
      <c r="H192" s="36">
        <v>140000</v>
      </c>
      <c r="I192" s="36">
        <v>220000</v>
      </c>
    </row>
    <row r="193" spans="1:9" x14ac:dyDescent="0.35">
      <c r="A193" s="35" t="s">
        <v>653</v>
      </c>
      <c r="B193" s="35" t="s">
        <v>363</v>
      </c>
      <c r="C193" s="37" t="s">
        <v>159</v>
      </c>
      <c r="D193" s="35" t="s">
        <v>372</v>
      </c>
      <c r="E193" s="37" t="s">
        <v>9</v>
      </c>
      <c r="F193" s="37" t="s">
        <v>12</v>
      </c>
      <c r="G193" s="35">
        <v>948</v>
      </c>
      <c r="H193" s="36">
        <v>140000</v>
      </c>
      <c r="I193" s="36">
        <v>220000</v>
      </c>
    </row>
    <row r="194" spans="1:9" x14ac:dyDescent="0.35">
      <c r="A194" s="35" t="s">
        <v>654</v>
      </c>
      <c r="B194" s="35" t="s">
        <v>363</v>
      </c>
      <c r="C194" s="37" t="s">
        <v>159</v>
      </c>
      <c r="D194" s="35" t="s">
        <v>372</v>
      </c>
      <c r="E194" s="37" t="s">
        <v>9</v>
      </c>
      <c r="F194" s="37" t="s">
        <v>19</v>
      </c>
      <c r="G194" s="35">
        <v>694</v>
      </c>
      <c r="H194" s="36">
        <v>140000</v>
      </c>
      <c r="I194" s="36">
        <v>220000</v>
      </c>
    </row>
    <row r="195" spans="1:9" x14ac:dyDescent="0.35">
      <c r="A195" s="35" t="s">
        <v>655</v>
      </c>
      <c r="B195" s="35" t="s">
        <v>363</v>
      </c>
      <c r="C195" s="37" t="s">
        <v>159</v>
      </c>
      <c r="D195" s="35" t="s">
        <v>372</v>
      </c>
      <c r="E195" s="37" t="s">
        <v>8</v>
      </c>
      <c r="F195" s="37" t="s">
        <v>20</v>
      </c>
      <c r="G195" s="35">
        <v>792</v>
      </c>
      <c r="H195" s="36">
        <v>140000</v>
      </c>
      <c r="I195" s="36">
        <v>220000</v>
      </c>
    </row>
    <row r="196" spans="1:9" x14ac:dyDescent="0.35">
      <c r="A196" s="35" t="s">
        <v>656</v>
      </c>
      <c r="B196" s="35" t="s">
        <v>363</v>
      </c>
      <c r="C196" s="37" t="s">
        <v>159</v>
      </c>
      <c r="D196" s="35" t="s">
        <v>372</v>
      </c>
      <c r="E196" s="37" t="s">
        <v>8</v>
      </c>
      <c r="F196" s="37" t="s">
        <v>11</v>
      </c>
      <c r="G196" s="35">
        <v>781</v>
      </c>
      <c r="H196" s="36">
        <v>140000</v>
      </c>
      <c r="I196" s="36">
        <v>220000</v>
      </c>
    </row>
    <row r="197" spans="1:9" x14ac:dyDescent="0.35">
      <c r="A197" s="35" t="s">
        <v>657</v>
      </c>
      <c r="B197" s="35" t="s">
        <v>363</v>
      </c>
      <c r="C197" s="37" t="s">
        <v>159</v>
      </c>
      <c r="D197" s="35" t="s">
        <v>372</v>
      </c>
      <c r="E197" s="37" t="s">
        <v>8</v>
      </c>
      <c r="F197" s="37" t="s">
        <v>15</v>
      </c>
      <c r="G197" s="35">
        <v>40</v>
      </c>
      <c r="H197" s="36">
        <v>140000</v>
      </c>
      <c r="I197" s="36">
        <v>220000</v>
      </c>
    </row>
    <row r="198" spans="1:9" x14ac:dyDescent="0.35">
      <c r="A198" s="35" t="s">
        <v>658</v>
      </c>
      <c r="B198" s="35" t="s">
        <v>363</v>
      </c>
      <c r="C198" s="37" t="s">
        <v>159</v>
      </c>
      <c r="D198" s="35" t="s">
        <v>372</v>
      </c>
      <c r="E198" s="37" t="s">
        <v>8</v>
      </c>
      <c r="F198" s="37" t="s">
        <v>12</v>
      </c>
      <c r="G198" s="35">
        <v>657</v>
      </c>
      <c r="H198" s="36">
        <v>140000</v>
      </c>
      <c r="I198" s="36">
        <v>220000</v>
      </c>
    </row>
    <row r="199" spans="1:9" x14ac:dyDescent="0.35">
      <c r="A199" s="35" t="s">
        <v>659</v>
      </c>
      <c r="B199" s="35" t="s">
        <v>363</v>
      </c>
      <c r="C199" s="37" t="s">
        <v>159</v>
      </c>
      <c r="D199" s="35" t="s">
        <v>372</v>
      </c>
      <c r="E199" s="37" t="s">
        <v>8</v>
      </c>
      <c r="F199" s="37" t="s">
        <v>19</v>
      </c>
      <c r="G199" s="35">
        <v>330</v>
      </c>
      <c r="H199" s="36">
        <v>140000</v>
      </c>
      <c r="I199" s="36">
        <v>220000</v>
      </c>
    </row>
    <row r="200" spans="1:9" x14ac:dyDescent="0.35">
      <c r="A200" s="35" t="s">
        <v>660</v>
      </c>
      <c r="B200" s="35" t="s">
        <v>363</v>
      </c>
      <c r="C200" s="37" t="s">
        <v>410</v>
      </c>
      <c r="D200" s="35" t="s">
        <v>373</v>
      </c>
      <c r="E200" s="37" t="s">
        <v>9</v>
      </c>
      <c r="F200" s="37" t="s">
        <v>20</v>
      </c>
      <c r="G200" s="35">
        <v>888</v>
      </c>
      <c r="H200" s="36">
        <v>95000</v>
      </c>
      <c r="I200" s="36">
        <v>150000</v>
      </c>
    </row>
    <row r="201" spans="1:9" x14ac:dyDescent="0.35">
      <c r="A201" s="35" t="s">
        <v>661</v>
      </c>
      <c r="B201" s="35" t="s">
        <v>363</v>
      </c>
      <c r="C201" s="37" t="s">
        <v>410</v>
      </c>
      <c r="D201" s="35" t="s">
        <v>373</v>
      </c>
      <c r="E201" s="37" t="s">
        <v>9</v>
      </c>
      <c r="F201" s="37" t="s">
        <v>11</v>
      </c>
      <c r="G201" s="35">
        <v>227</v>
      </c>
      <c r="H201" s="36">
        <v>95000</v>
      </c>
      <c r="I201" s="36">
        <v>150000</v>
      </c>
    </row>
    <row r="202" spans="1:9" x14ac:dyDescent="0.35">
      <c r="A202" s="35" t="s">
        <v>662</v>
      </c>
      <c r="B202" s="35" t="s">
        <v>363</v>
      </c>
      <c r="C202" s="37" t="s">
        <v>410</v>
      </c>
      <c r="D202" s="35" t="s">
        <v>373</v>
      </c>
      <c r="E202" s="37" t="s">
        <v>9</v>
      </c>
      <c r="F202" s="37" t="s">
        <v>15</v>
      </c>
      <c r="G202" s="35">
        <v>781</v>
      </c>
      <c r="H202" s="36">
        <v>95000</v>
      </c>
      <c r="I202" s="36">
        <v>150000</v>
      </c>
    </row>
    <row r="203" spans="1:9" x14ac:dyDescent="0.35">
      <c r="A203" s="35" t="s">
        <v>663</v>
      </c>
      <c r="B203" s="35" t="s">
        <v>363</v>
      </c>
      <c r="C203" s="37" t="s">
        <v>410</v>
      </c>
      <c r="D203" s="35" t="s">
        <v>373</v>
      </c>
      <c r="E203" s="37" t="s">
        <v>9</v>
      </c>
      <c r="F203" s="37" t="s">
        <v>12</v>
      </c>
      <c r="G203" s="35">
        <v>187</v>
      </c>
      <c r="H203" s="36">
        <v>95000</v>
      </c>
      <c r="I203" s="36">
        <v>150000</v>
      </c>
    </row>
    <row r="204" spans="1:9" x14ac:dyDescent="0.35">
      <c r="A204" s="35" t="s">
        <v>664</v>
      </c>
      <c r="B204" s="35" t="s">
        <v>363</v>
      </c>
      <c r="C204" s="37" t="s">
        <v>410</v>
      </c>
      <c r="D204" s="35" t="s">
        <v>373</v>
      </c>
      <c r="E204" s="37" t="s">
        <v>9</v>
      </c>
      <c r="F204" s="37" t="s">
        <v>19</v>
      </c>
      <c r="G204" s="35">
        <v>932</v>
      </c>
      <c r="H204" s="36">
        <v>95000</v>
      </c>
      <c r="I204" s="36">
        <v>150000</v>
      </c>
    </row>
    <row r="205" spans="1:9" x14ac:dyDescent="0.35">
      <c r="A205" s="35" t="s">
        <v>665</v>
      </c>
      <c r="B205" s="35" t="s">
        <v>363</v>
      </c>
      <c r="C205" s="37" t="s">
        <v>410</v>
      </c>
      <c r="D205" s="35" t="s">
        <v>373</v>
      </c>
      <c r="E205" s="37" t="s">
        <v>452</v>
      </c>
      <c r="F205" s="37" t="s">
        <v>20</v>
      </c>
      <c r="G205" s="35">
        <v>861</v>
      </c>
      <c r="H205" s="36">
        <v>95000</v>
      </c>
      <c r="I205" s="36">
        <v>150000</v>
      </c>
    </row>
    <row r="206" spans="1:9" x14ac:dyDescent="0.35">
      <c r="A206" s="35" t="s">
        <v>666</v>
      </c>
      <c r="B206" s="35" t="s">
        <v>363</v>
      </c>
      <c r="C206" s="37" t="s">
        <v>410</v>
      </c>
      <c r="D206" s="35" t="s">
        <v>373</v>
      </c>
      <c r="E206" s="37" t="s">
        <v>452</v>
      </c>
      <c r="F206" s="37" t="s">
        <v>11</v>
      </c>
      <c r="G206" s="35">
        <v>673</v>
      </c>
      <c r="H206" s="36">
        <v>95000</v>
      </c>
      <c r="I206" s="36">
        <v>150000</v>
      </c>
    </row>
    <row r="207" spans="1:9" x14ac:dyDescent="0.35">
      <c r="A207" s="35" t="s">
        <v>667</v>
      </c>
      <c r="B207" s="35" t="s">
        <v>363</v>
      </c>
      <c r="C207" s="37" t="s">
        <v>410</v>
      </c>
      <c r="D207" s="35" t="s">
        <v>373</v>
      </c>
      <c r="E207" s="37" t="s">
        <v>452</v>
      </c>
      <c r="F207" s="37" t="s">
        <v>15</v>
      </c>
      <c r="G207" s="35">
        <v>695</v>
      </c>
      <c r="H207" s="36">
        <v>95000</v>
      </c>
      <c r="I207" s="36">
        <v>150000</v>
      </c>
    </row>
    <row r="208" spans="1:9" x14ac:dyDescent="0.35">
      <c r="A208" s="35" t="s">
        <v>668</v>
      </c>
      <c r="B208" s="35" t="s">
        <v>363</v>
      </c>
      <c r="C208" s="37" t="s">
        <v>410</v>
      </c>
      <c r="D208" s="35" t="s">
        <v>373</v>
      </c>
      <c r="E208" s="37" t="s">
        <v>452</v>
      </c>
      <c r="F208" s="37" t="s">
        <v>12</v>
      </c>
      <c r="G208" s="35">
        <v>438</v>
      </c>
      <c r="H208" s="36">
        <v>95000</v>
      </c>
      <c r="I208" s="36">
        <v>150000</v>
      </c>
    </row>
    <row r="209" spans="1:9" x14ac:dyDescent="0.35">
      <c r="A209" s="35" t="s">
        <v>669</v>
      </c>
      <c r="B209" s="35" t="s">
        <v>363</v>
      </c>
      <c r="C209" s="37" t="s">
        <v>410</v>
      </c>
      <c r="D209" s="35" t="s">
        <v>373</v>
      </c>
      <c r="E209" s="37" t="s">
        <v>452</v>
      </c>
      <c r="F209" s="37" t="s">
        <v>19</v>
      </c>
      <c r="G209" s="35">
        <v>458</v>
      </c>
      <c r="H209" s="36">
        <v>95000</v>
      </c>
      <c r="I209" s="36">
        <v>150000</v>
      </c>
    </row>
    <row r="210" spans="1:9" x14ac:dyDescent="0.35">
      <c r="A210" s="35" t="s">
        <v>670</v>
      </c>
      <c r="B210" s="35" t="s">
        <v>364</v>
      </c>
      <c r="C210" s="37" t="s">
        <v>414</v>
      </c>
      <c r="D210" s="35" t="s">
        <v>373</v>
      </c>
      <c r="E210" s="37" t="s">
        <v>453</v>
      </c>
      <c r="F210" s="37" t="s">
        <v>20</v>
      </c>
      <c r="G210" s="35">
        <v>988</v>
      </c>
      <c r="H210" s="36">
        <v>95000</v>
      </c>
      <c r="I210" s="36">
        <v>150000</v>
      </c>
    </row>
    <row r="211" spans="1:9" x14ac:dyDescent="0.35">
      <c r="A211" s="35" t="s">
        <v>671</v>
      </c>
      <c r="B211" s="35" t="s">
        <v>364</v>
      </c>
      <c r="C211" s="37" t="s">
        <v>414</v>
      </c>
      <c r="D211" s="35" t="s">
        <v>373</v>
      </c>
      <c r="E211" s="37" t="s">
        <v>453</v>
      </c>
      <c r="F211" s="37" t="s">
        <v>11</v>
      </c>
      <c r="G211" s="35">
        <v>300</v>
      </c>
      <c r="H211" s="36">
        <v>95000</v>
      </c>
      <c r="I211" s="36">
        <v>150000</v>
      </c>
    </row>
    <row r="212" spans="1:9" x14ac:dyDescent="0.35">
      <c r="A212" s="35" t="s">
        <v>672</v>
      </c>
      <c r="B212" s="35" t="s">
        <v>364</v>
      </c>
      <c r="C212" s="37" t="s">
        <v>414</v>
      </c>
      <c r="D212" s="35" t="s">
        <v>373</v>
      </c>
      <c r="E212" s="37" t="s">
        <v>453</v>
      </c>
      <c r="F212" s="37" t="s">
        <v>15</v>
      </c>
      <c r="G212" s="35">
        <v>520</v>
      </c>
      <c r="H212" s="36">
        <v>95000</v>
      </c>
      <c r="I212" s="36">
        <v>150000</v>
      </c>
    </row>
    <row r="213" spans="1:9" x14ac:dyDescent="0.35">
      <c r="A213" s="35" t="s">
        <v>673</v>
      </c>
      <c r="B213" s="35" t="s">
        <v>364</v>
      </c>
      <c r="C213" s="37" t="s">
        <v>414</v>
      </c>
      <c r="D213" s="35" t="s">
        <v>373</v>
      </c>
      <c r="E213" s="37" t="s">
        <v>453</v>
      </c>
      <c r="F213" s="37" t="s">
        <v>12</v>
      </c>
      <c r="G213" s="35">
        <v>717</v>
      </c>
      <c r="H213" s="36">
        <v>95000</v>
      </c>
      <c r="I213" s="36">
        <v>150000</v>
      </c>
    </row>
    <row r="214" spans="1:9" x14ac:dyDescent="0.35">
      <c r="A214" s="35" t="s">
        <v>674</v>
      </c>
      <c r="B214" s="35" t="s">
        <v>364</v>
      </c>
      <c r="C214" s="37" t="s">
        <v>432</v>
      </c>
      <c r="D214" s="35" t="s">
        <v>373</v>
      </c>
      <c r="E214" s="37" t="s">
        <v>454</v>
      </c>
      <c r="F214" s="37" t="s">
        <v>20</v>
      </c>
      <c r="G214" s="35">
        <v>422</v>
      </c>
      <c r="H214" s="36">
        <v>95000</v>
      </c>
      <c r="I214" s="36">
        <v>150000</v>
      </c>
    </row>
    <row r="215" spans="1:9" x14ac:dyDescent="0.35">
      <c r="A215" s="35" t="s">
        <v>675</v>
      </c>
      <c r="B215" s="35" t="s">
        <v>364</v>
      </c>
      <c r="C215" s="37" t="s">
        <v>432</v>
      </c>
      <c r="D215" s="35" t="s">
        <v>373</v>
      </c>
      <c r="E215" s="37" t="s">
        <v>454</v>
      </c>
      <c r="F215" s="37" t="s">
        <v>11</v>
      </c>
      <c r="G215" s="35">
        <v>222</v>
      </c>
      <c r="H215" s="36">
        <v>95000</v>
      </c>
      <c r="I215" s="36">
        <v>150000</v>
      </c>
    </row>
    <row r="216" spans="1:9" x14ac:dyDescent="0.35">
      <c r="A216" s="35" t="s">
        <v>676</v>
      </c>
      <c r="B216" s="35" t="s">
        <v>364</v>
      </c>
      <c r="C216" s="37" t="s">
        <v>432</v>
      </c>
      <c r="D216" s="35" t="s">
        <v>373</v>
      </c>
      <c r="E216" s="37" t="s">
        <v>454</v>
      </c>
      <c r="F216" s="37" t="s">
        <v>15</v>
      </c>
      <c r="G216" s="35">
        <v>676</v>
      </c>
      <c r="H216" s="36">
        <v>95000</v>
      </c>
      <c r="I216" s="36">
        <v>150000</v>
      </c>
    </row>
    <row r="217" spans="1:9" x14ac:dyDescent="0.35">
      <c r="A217" s="35" t="s">
        <v>677</v>
      </c>
      <c r="B217" s="35" t="s">
        <v>364</v>
      </c>
      <c r="C217" s="37" t="s">
        <v>432</v>
      </c>
      <c r="D217" s="35" t="s">
        <v>373</v>
      </c>
      <c r="E217" s="37" t="s">
        <v>454</v>
      </c>
      <c r="F217" s="37" t="s">
        <v>12</v>
      </c>
      <c r="G217" s="35">
        <v>310</v>
      </c>
      <c r="H217" s="36">
        <v>95000</v>
      </c>
      <c r="I217" s="36">
        <v>150000</v>
      </c>
    </row>
    <row r="218" spans="1:9" x14ac:dyDescent="0.35">
      <c r="A218" s="35" t="s">
        <v>678</v>
      </c>
      <c r="B218" s="35" t="s">
        <v>364</v>
      </c>
      <c r="C218" s="37" t="s">
        <v>432</v>
      </c>
      <c r="D218" s="35" t="s">
        <v>373</v>
      </c>
      <c r="E218" s="37" t="s">
        <v>454</v>
      </c>
      <c r="F218" s="37" t="s">
        <v>19</v>
      </c>
      <c r="G218" s="35">
        <v>775</v>
      </c>
      <c r="H218" s="36">
        <v>95000</v>
      </c>
      <c r="I218" s="36">
        <v>150000</v>
      </c>
    </row>
    <row r="219" spans="1:9" x14ac:dyDescent="0.35">
      <c r="A219" s="35" t="s">
        <v>679</v>
      </c>
      <c r="B219" s="35" t="s">
        <v>364</v>
      </c>
      <c r="C219" s="37" t="s">
        <v>432</v>
      </c>
      <c r="D219" s="35" t="s">
        <v>373</v>
      </c>
      <c r="E219" s="37" t="s">
        <v>9</v>
      </c>
      <c r="F219" s="37" t="s">
        <v>20</v>
      </c>
      <c r="G219" s="35">
        <v>118</v>
      </c>
      <c r="H219" s="36">
        <v>95000</v>
      </c>
      <c r="I219" s="36">
        <v>150000</v>
      </c>
    </row>
    <row r="220" spans="1:9" x14ac:dyDescent="0.35">
      <c r="A220" s="35" t="s">
        <v>680</v>
      </c>
      <c r="B220" s="35" t="s">
        <v>364</v>
      </c>
      <c r="C220" s="37" t="s">
        <v>432</v>
      </c>
      <c r="D220" s="35" t="s">
        <v>373</v>
      </c>
      <c r="E220" s="37" t="s">
        <v>9</v>
      </c>
      <c r="F220" s="37" t="s">
        <v>11</v>
      </c>
      <c r="G220" s="35">
        <v>785</v>
      </c>
      <c r="H220" s="36">
        <v>95000</v>
      </c>
      <c r="I220" s="36">
        <v>150000</v>
      </c>
    </row>
    <row r="221" spans="1:9" x14ac:dyDescent="0.35">
      <c r="A221" s="35" t="s">
        <v>681</v>
      </c>
      <c r="B221" s="35" t="s">
        <v>364</v>
      </c>
      <c r="C221" s="37" t="s">
        <v>432</v>
      </c>
      <c r="D221" s="35" t="s">
        <v>373</v>
      </c>
      <c r="E221" s="37" t="s">
        <v>9</v>
      </c>
      <c r="F221" s="37" t="s">
        <v>15</v>
      </c>
      <c r="G221" s="35">
        <v>680</v>
      </c>
      <c r="H221" s="36">
        <v>95000</v>
      </c>
      <c r="I221" s="36">
        <v>150000</v>
      </c>
    </row>
    <row r="222" spans="1:9" x14ac:dyDescent="0.35">
      <c r="A222" s="35" t="s">
        <v>682</v>
      </c>
      <c r="B222" s="35" t="s">
        <v>364</v>
      </c>
      <c r="C222" s="37" t="s">
        <v>432</v>
      </c>
      <c r="D222" s="35" t="s">
        <v>373</v>
      </c>
      <c r="E222" s="37" t="s">
        <v>9</v>
      </c>
      <c r="F222" s="37" t="s">
        <v>12</v>
      </c>
      <c r="G222" s="35">
        <v>883</v>
      </c>
      <c r="H222" s="36">
        <v>95000</v>
      </c>
      <c r="I222" s="36">
        <v>150000</v>
      </c>
    </row>
    <row r="223" spans="1:9" x14ac:dyDescent="0.35">
      <c r="A223" s="35" t="s">
        <v>683</v>
      </c>
      <c r="B223" s="35" t="s">
        <v>364</v>
      </c>
      <c r="C223" s="37" t="s">
        <v>432</v>
      </c>
      <c r="D223" s="35" t="s">
        <v>373</v>
      </c>
      <c r="E223" s="37" t="s">
        <v>9</v>
      </c>
      <c r="F223" s="37" t="s">
        <v>19</v>
      </c>
      <c r="G223" s="35">
        <v>843</v>
      </c>
      <c r="H223" s="36">
        <v>95000</v>
      </c>
      <c r="I223" s="36">
        <v>150000</v>
      </c>
    </row>
    <row r="224" spans="1:9" x14ac:dyDescent="0.35">
      <c r="A224" s="35" t="s">
        <v>684</v>
      </c>
      <c r="B224" s="35" t="s">
        <v>364</v>
      </c>
      <c r="C224" s="37" t="s">
        <v>418</v>
      </c>
      <c r="D224" s="35" t="s">
        <v>373</v>
      </c>
      <c r="E224" s="37" t="s">
        <v>30</v>
      </c>
      <c r="F224" s="37" t="s">
        <v>20</v>
      </c>
      <c r="G224" s="35">
        <v>739</v>
      </c>
      <c r="H224" s="36">
        <v>100000</v>
      </c>
      <c r="I224" s="36">
        <v>155000</v>
      </c>
    </row>
    <row r="225" spans="1:9" x14ac:dyDescent="0.35">
      <c r="A225" s="35" t="s">
        <v>685</v>
      </c>
      <c r="B225" s="35" t="s">
        <v>364</v>
      </c>
      <c r="C225" s="37" t="s">
        <v>418</v>
      </c>
      <c r="D225" s="35" t="s">
        <v>373</v>
      </c>
      <c r="E225" s="37" t="s">
        <v>30</v>
      </c>
      <c r="F225" s="37" t="s">
        <v>11</v>
      </c>
      <c r="G225" s="35">
        <v>558</v>
      </c>
      <c r="H225" s="36">
        <v>100000</v>
      </c>
      <c r="I225" s="36">
        <v>155000</v>
      </c>
    </row>
    <row r="226" spans="1:9" x14ac:dyDescent="0.35">
      <c r="A226" s="35" t="s">
        <v>686</v>
      </c>
      <c r="B226" s="35" t="s">
        <v>364</v>
      </c>
      <c r="C226" s="37" t="s">
        <v>418</v>
      </c>
      <c r="D226" s="35" t="s">
        <v>373</v>
      </c>
      <c r="E226" s="37" t="s">
        <v>30</v>
      </c>
      <c r="F226" s="37" t="s">
        <v>15</v>
      </c>
      <c r="G226" s="35">
        <v>811</v>
      </c>
      <c r="H226" s="36">
        <v>100000</v>
      </c>
      <c r="I226" s="36">
        <v>155000</v>
      </c>
    </row>
    <row r="227" spans="1:9" x14ac:dyDescent="0.35">
      <c r="A227" s="35" t="s">
        <v>687</v>
      </c>
      <c r="B227" s="35" t="s">
        <v>364</v>
      </c>
      <c r="C227" s="37" t="s">
        <v>418</v>
      </c>
      <c r="D227" s="35" t="s">
        <v>373</v>
      </c>
      <c r="E227" s="37" t="s">
        <v>30</v>
      </c>
      <c r="F227" s="37" t="s">
        <v>12</v>
      </c>
      <c r="G227" s="35">
        <v>911</v>
      </c>
      <c r="H227" s="36">
        <v>100000</v>
      </c>
      <c r="I227" s="36">
        <v>155000</v>
      </c>
    </row>
    <row r="228" spans="1:9" x14ac:dyDescent="0.35">
      <c r="A228" s="35" t="s">
        <v>688</v>
      </c>
      <c r="B228" s="35" t="s">
        <v>364</v>
      </c>
      <c r="C228" s="37" t="s">
        <v>418</v>
      </c>
      <c r="D228" s="35" t="s">
        <v>373</v>
      </c>
      <c r="E228" s="37" t="s">
        <v>30</v>
      </c>
      <c r="F228" s="37" t="s">
        <v>19</v>
      </c>
      <c r="G228" s="35">
        <v>949</v>
      </c>
      <c r="H228" s="36">
        <v>100000</v>
      </c>
      <c r="I228" s="36">
        <v>155000</v>
      </c>
    </row>
    <row r="229" spans="1:9" x14ac:dyDescent="0.35">
      <c r="A229" s="35" t="s">
        <v>689</v>
      </c>
      <c r="B229" s="35" t="s">
        <v>364</v>
      </c>
      <c r="C229" s="37" t="s">
        <v>418</v>
      </c>
      <c r="D229" s="35" t="s">
        <v>373</v>
      </c>
      <c r="E229" s="37" t="s">
        <v>452</v>
      </c>
      <c r="F229" s="37" t="s">
        <v>20</v>
      </c>
      <c r="G229" s="35">
        <v>748</v>
      </c>
      <c r="H229" s="36">
        <v>100000</v>
      </c>
      <c r="I229" s="36">
        <v>155000</v>
      </c>
    </row>
    <row r="230" spans="1:9" x14ac:dyDescent="0.35">
      <c r="A230" s="35" t="s">
        <v>690</v>
      </c>
      <c r="B230" s="35" t="s">
        <v>364</v>
      </c>
      <c r="C230" s="37" t="s">
        <v>418</v>
      </c>
      <c r="D230" s="35" t="s">
        <v>373</v>
      </c>
      <c r="E230" s="37" t="s">
        <v>452</v>
      </c>
      <c r="F230" s="37" t="s">
        <v>11</v>
      </c>
      <c r="G230" s="35">
        <v>260</v>
      </c>
      <c r="H230" s="36">
        <v>100000</v>
      </c>
      <c r="I230" s="36">
        <v>155000</v>
      </c>
    </row>
    <row r="231" spans="1:9" x14ac:dyDescent="0.35">
      <c r="A231" s="35" t="s">
        <v>691</v>
      </c>
      <c r="B231" s="35" t="s">
        <v>364</v>
      </c>
      <c r="C231" s="37" t="s">
        <v>418</v>
      </c>
      <c r="D231" s="35" t="s">
        <v>373</v>
      </c>
      <c r="E231" s="37" t="s">
        <v>452</v>
      </c>
      <c r="F231" s="37" t="s">
        <v>15</v>
      </c>
      <c r="G231" s="35">
        <v>447</v>
      </c>
      <c r="H231" s="36">
        <v>100000</v>
      </c>
      <c r="I231" s="36">
        <v>155000</v>
      </c>
    </row>
    <row r="232" spans="1:9" x14ac:dyDescent="0.35">
      <c r="A232" s="35" t="s">
        <v>692</v>
      </c>
      <c r="B232" s="35" t="s">
        <v>364</v>
      </c>
      <c r="C232" s="37" t="s">
        <v>418</v>
      </c>
      <c r="D232" s="35" t="s">
        <v>373</v>
      </c>
      <c r="E232" s="37" t="s">
        <v>452</v>
      </c>
      <c r="F232" s="37" t="s">
        <v>12</v>
      </c>
      <c r="G232" s="35">
        <v>163</v>
      </c>
      <c r="H232" s="36">
        <v>100000</v>
      </c>
      <c r="I232" s="36">
        <v>155000</v>
      </c>
    </row>
    <row r="233" spans="1:9" x14ac:dyDescent="0.35">
      <c r="A233" s="35" t="s">
        <v>693</v>
      </c>
      <c r="B233" s="35" t="s">
        <v>364</v>
      </c>
      <c r="C233" s="37" t="s">
        <v>418</v>
      </c>
      <c r="D233" s="35" t="s">
        <v>373</v>
      </c>
      <c r="E233" s="37" t="s">
        <v>452</v>
      </c>
      <c r="F233" s="37" t="s">
        <v>19</v>
      </c>
      <c r="G233" s="35">
        <v>93</v>
      </c>
      <c r="H233" s="36">
        <v>100000</v>
      </c>
      <c r="I233" s="36">
        <v>155000</v>
      </c>
    </row>
    <row r="234" spans="1:9" x14ac:dyDescent="0.35">
      <c r="A234" s="35" t="s">
        <v>694</v>
      </c>
      <c r="B234" s="35" t="s">
        <v>365</v>
      </c>
      <c r="C234" s="37" t="s">
        <v>419</v>
      </c>
      <c r="D234" s="35" t="s">
        <v>373</v>
      </c>
      <c r="E234" s="37" t="s">
        <v>9</v>
      </c>
      <c r="F234" s="37" t="s">
        <v>20</v>
      </c>
      <c r="G234" s="35">
        <v>580</v>
      </c>
      <c r="H234" s="36">
        <v>100000</v>
      </c>
      <c r="I234" s="36">
        <v>155000</v>
      </c>
    </row>
    <row r="235" spans="1:9" x14ac:dyDescent="0.35">
      <c r="A235" s="35" t="s">
        <v>695</v>
      </c>
      <c r="B235" s="35" t="s">
        <v>365</v>
      </c>
      <c r="C235" s="37" t="s">
        <v>419</v>
      </c>
      <c r="D235" s="35" t="s">
        <v>373</v>
      </c>
      <c r="E235" s="37" t="s">
        <v>9</v>
      </c>
      <c r="F235" s="37" t="s">
        <v>11</v>
      </c>
      <c r="G235" s="35">
        <v>548</v>
      </c>
      <c r="H235" s="36">
        <v>100000</v>
      </c>
      <c r="I235" s="36">
        <v>155000</v>
      </c>
    </row>
    <row r="236" spans="1:9" x14ac:dyDescent="0.35">
      <c r="A236" s="35" t="s">
        <v>696</v>
      </c>
      <c r="B236" s="35" t="s">
        <v>365</v>
      </c>
      <c r="C236" s="37" t="s">
        <v>419</v>
      </c>
      <c r="D236" s="35" t="s">
        <v>373</v>
      </c>
      <c r="E236" s="37" t="s">
        <v>9</v>
      </c>
      <c r="F236" s="37" t="s">
        <v>15</v>
      </c>
      <c r="G236" s="35">
        <v>707</v>
      </c>
      <c r="H236" s="36">
        <v>100000</v>
      </c>
      <c r="I236" s="36">
        <v>155000</v>
      </c>
    </row>
    <row r="237" spans="1:9" x14ac:dyDescent="0.35">
      <c r="A237" s="35" t="s">
        <v>697</v>
      </c>
      <c r="B237" s="35" t="s">
        <v>365</v>
      </c>
      <c r="C237" s="37" t="s">
        <v>419</v>
      </c>
      <c r="D237" s="35" t="s">
        <v>373</v>
      </c>
      <c r="E237" s="37" t="s">
        <v>9</v>
      </c>
      <c r="F237" s="37" t="s">
        <v>12</v>
      </c>
      <c r="G237" s="35">
        <v>343</v>
      </c>
      <c r="H237" s="36">
        <v>100000</v>
      </c>
      <c r="I237" s="36">
        <v>155000</v>
      </c>
    </row>
    <row r="238" spans="1:9" x14ac:dyDescent="0.35">
      <c r="A238" s="35" t="s">
        <v>698</v>
      </c>
      <c r="B238" s="35" t="s">
        <v>365</v>
      </c>
      <c r="C238" s="37" t="s">
        <v>419</v>
      </c>
      <c r="D238" s="35" t="s">
        <v>373</v>
      </c>
      <c r="E238" s="37" t="s">
        <v>9</v>
      </c>
      <c r="F238" s="37" t="s">
        <v>19</v>
      </c>
      <c r="G238" s="35">
        <v>456</v>
      </c>
      <c r="H238" s="36">
        <v>100000</v>
      </c>
      <c r="I238" s="36">
        <v>155000</v>
      </c>
    </row>
    <row r="239" spans="1:9" x14ac:dyDescent="0.35">
      <c r="A239" s="35" t="s">
        <v>699</v>
      </c>
      <c r="B239" s="35" t="s">
        <v>365</v>
      </c>
      <c r="C239" s="37" t="s">
        <v>419</v>
      </c>
      <c r="D239" s="35" t="s">
        <v>373</v>
      </c>
      <c r="E239" s="37" t="s">
        <v>29</v>
      </c>
      <c r="F239" s="37" t="s">
        <v>20</v>
      </c>
      <c r="G239" s="35">
        <v>22</v>
      </c>
      <c r="H239" s="36">
        <v>100000</v>
      </c>
      <c r="I239" s="36">
        <v>155000</v>
      </c>
    </row>
    <row r="240" spans="1:9" x14ac:dyDescent="0.35">
      <c r="A240" s="35" t="s">
        <v>700</v>
      </c>
      <c r="B240" s="35" t="s">
        <v>365</v>
      </c>
      <c r="C240" s="37" t="s">
        <v>419</v>
      </c>
      <c r="D240" s="35" t="s">
        <v>373</v>
      </c>
      <c r="E240" s="37" t="s">
        <v>29</v>
      </c>
      <c r="F240" s="37" t="s">
        <v>11</v>
      </c>
      <c r="G240" s="35">
        <v>759</v>
      </c>
      <c r="H240" s="36">
        <v>100000</v>
      </c>
      <c r="I240" s="36">
        <v>155000</v>
      </c>
    </row>
    <row r="241" spans="1:9" x14ac:dyDescent="0.35">
      <c r="A241" s="35" t="s">
        <v>701</v>
      </c>
      <c r="B241" s="35" t="s">
        <v>365</v>
      </c>
      <c r="C241" s="37" t="s">
        <v>419</v>
      </c>
      <c r="D241" s="35" t="s">
        <v>373</v>
      </c>
      <c r="E241" s="37" t="s">
        <v>29</v>
      </c>
      <c r="F241" s="37" t="s">
        <v>15</v>
      </c>
      <c r="G241" s="35">
        <v>681</v>
      </c>
      <c r="H241" s="36">
        <v>100000</v>
      </c>
      <c r="I241" s="36">
        <v>155000</v>
      </c>
    </row>
    <row r="242" spans="1:9" x14ac:dyDescent="0.35">
      <c r="A242" s="35" t="s">
        <v>702</v>
      </c>
      <c r="B242" s="35" t="s">
        <v>365</v>
      </c>
      <c r="C242" s="37" t="s">
        <v>419</v>
      </c>
      <c r="D242" s="35" t="s">
        <v>373</v>
      </c>
      <c r="E242" s="37" t="s">
        <v>29</v>
      </c>
      <c r="F242" s="37" t="s">
        <v>12</v>
      </c>
      <c r="G242" s="35">
        <v>443</v>
      </c>
      <c r="H242" s="36">
        <v>100000</v>
      </c>
      <c r="I242" s="36">
        <v>155000</v>
      </c>
    </row>
    <row r="243" spans="1:9" x14ac:dyDescent="0.35">
      <c r="A243" s="35" t="s">
        <v>703</v>
      </c>
      <c r="B243" s="35" t="s">
        <v>365</v>
      </c>
      <c r="C243" s="37" t="s">
        <v>419</v>
      </c>
      <c r="D243" s="35" t="s">
        <v>373</v>
      </c>
      <c r="E243" s="37" t="s">
        <v>29</v>
      </c>
      <c r="F243" s="37" t="s">
        <v>19</v>
      </c>
      <c r="G243" s="35">
        <v>158</v>
      </c>
      <c r="H243" s="36">
        <v>100000</v>
      </c>
      <c r="I243" s="36">
        <v>155000</v>
      </c>
    </row>
    <row r="244" spans="1:9" x14ac:dyDescent="0.35">
      <c r="A244" s="35" t="s">
        <v>704</v>
      </c>
      <c r="B244" s="35" t="s">
        <v>365</v>
      </c>
      <c r="C244" s="37" t="s">
        <v>420</v>
      </c>
      <c r="D244" s="35" t="s">
        <v>373</v>
      </c>
      <c r="E244" s="37" t="s">
        <v>455</v>
      </c>
      <c r="F244" s="37" t="s">
        <v>20</v>
      </c>
      <c r="G244" s="35">
        <v>748</v>
      </c>
      <c r="H244" s="36">
        <v>100000</v>
      </c>
      <c r="I244" s="36">
        <v>155000</v>
      </c>
    </row>
    <row r="245" spans="1:9" x14ac:dyDescent="0.35">
      <c r="A245" s="35" t="s">
        <v>705</v>
      </c>
      <c r="B245" s="35" t="s">
        <v>365</v>
      </c>
      <c r="C245" s="37" t="s">
        <v>420</v>
      </c>
      <c r="D245" s="35" t="s">
        <v>373</v>
      </c>
      <c r="E245" s="37" t="s">
        <v>455</v>
      </c>
      <c r="F245" s="37" t="s">
        <v>11</v>
      </c>
      <c r="G245" s="35">
        <v>310</v>
      </c>
      <c r="H245" s="36">
        <v>100000</v>
      </c>
      <c r="I245" s="36">
        <v>155000</v>
      </c>
    </row>
    <row r="246" spans="1:9" x14ac:dyDescent="0.35">
      <c r="A246" s="35" t="s">
        <v>706</v>
      </c>
      <c r="B246" s="35" t="s">
        <v>365</v>
      </c>
      <c r="C246" s="37" t="s">
        <v>420</v>
      </c>
      <c r="D246" s="35" t="s">
        <v>373</v>
      </c>
      <c r="E246" s="37" t="s">
        <v>455</v>
      </c>
      <c r="F246" s="37" t="s">
        <v>15</v>
      </c>
      <c r="G246" s="35">
        <v>456</v>
      </c>
      <c r="H246" s="36">
        <v>100000</v>
      </c>
      <c r="I246" s="36">
        <v>155000</v>
      </c>
    </row>
    <row r="247" spans="1:9" x14ac:dyDescent="0.35">
      <c r="A247" s="35" t="s">
        <v>707</v>
      </c>
      <c r="B247" s="35" t="s">
        <v>365</v>
      </c>
      <c r="C247" s="37" t="s">
        <v>420</v>
      </c>
      <c r="D247" s="35" t="s">
        <v>373</v>
      </c>
      <c r="E247" s="37" t="s">
        <v>455</v>
      </c>
      <c r="F247" s="37" t="s">
        <v>12</v>
      </c>
      <c r="G247" s="35">
        <v>461</v>
      </c>
      <c r="H247" s="36">
        <v>100000</v>
      </c>
      <c r="I247" s="36">
        <v>155000</v>
      </c>
    </row>
    <row r="248" spans="1:9" x14ac:dyDescent="0.35">
      <c r="A248" s="35" t="s">
        <v>708</v>
      </c>
      <c r="B248" s="35" t="s">
        <v>365</v>
      </c>
      <c r="C248" s="37" t="s">
        <v>420</v>
      </c>
      <c r="D248" s="35" t="s">
        <v>373</v>
      </c>
      <c r="E248" s="37" t="s">
        <v>455</v>
      </c>
      <c r="F248" s="37" t="s">
        <v>19</v>
      </c>
      <c r="G248" s="35">
        <v>356</v>
      </c>
      <c r="H248" s="36">
        <v>100000</v>
      </c>
      <c r="I248" s="36">
        <v>155000</v>
      </c>
    </row>
    <row r="249" spans="1:9" x14ac:dyDescent="0.35">
      <c r="A249" s="35" t="s">
        <v>709</v>
      </c>
      <c r="B249" s="35" t="s">
        <v>365</v>
      </c>
      <c r="C249" s="37" t="s">
        <v>420</v>
      </c>
      <c r="D249" s="35" t="s">
        <v>373</v>
      </c>
      <c r="E249" s="37" t="s">
        <v>456</v>
      </c>
      <c r="F249" s="37" t="s">
        <v>20</v>
      </c>
      <c r="G249" s="35">
        <v>869</v>
      </c>
      <c r="H249" s="36">
        <v>100000</v>
      </c>
      <c r="I249" s="36">
        <v>155000</v>
      </c>
    </row>
    <row r="250" spans="1:9" x14ac:dyDescent="0.35">
      <c r="A250" s="35" t="s">
        <v>710</v>
      </c>
      <c r="B250" s="35" t="s">
        <v>365</v>
      </c>
      <c r="C250" s="37" t="s">
        <v>420</v>
      </c>
      <c r="D250" s="35" t="s">
        <v>373</v>
      </c>
      <c r="E250" s="37" t="s">
        <v>456</v>
      </c>
      <c r="F250" s="37" t="s">
        <v>11</v>
      </c>
      <c r="G250" s="35">
        <v>329</v>
      </c>
      <c r="H250" s="36">
        <v>100000</v>
      </c>
      <c r="I250" s="36">
        <v>155000</v>
      </c>
    </row>
    <row r="251" spans="1:9" x14ac:dyDescent="0.35">
      <c r="A251" s="35" t="s">
        <v>711</v>
      </c>
      <c r="B251" s="35" t="s">
        <v>365</v>
      </c>
      <c r="C251" s="37" t="s">
        <v>420</v>
      </c>
      <c r="D251" s="35" t="s">
        <v>373</v>
      </c>
      <c r="E251" s="37" t="s">
        <v>456</v>
      </c>
      <c r="F251" s="37" t="s">
        <v>15</v>
      </c>
      <c r="G251" s="35">
        <v>171</v>
      </c>
      <c r="H251" s="36">
        <v>100000</v>
      </c>
      <c r="I251" s="36">
        <v>155000</v>
      </c>
    </row>
    <row r="252" spans="1:9" x14ac:dyDescent="0.35">
      <c r="A252" s="35" t="s">
        <v>712</v>
      </c>
      <c r="B252" s="35" t="s">
        <v>365</v>
      </c>
      <c r="C252" s="37" t="s">
        <v>420</v>
      </c>
      <c r="D252" s="35" t="s">
        <v>373</v>
      </c>
      <c r="E252" s="37" t="s">
        <v>456</v>
      </c>
      <c r="F252" s="37" t="s">
        <v>12</v>
      </c>
      <c r="G252" s="35">
        <v>102</v>
      </c>
      <c r="H252" s="36">
        <v>100000</v>
      </c>
      <c r="I252" s="36">
        <v>155000</v>
      </c>
    </row>
    <row r="253" spans="1:9" x14ac:dyDescent="0.35">
      <c r="A253" s="35" t="s">
        <v>713</v>
      </c>
      <c r="B253" s="35" t="s">
        <v>365</v>
      </c>
      <c r="C253" s="37" t="s">
        <v>420</v>
      </c>
      <c r="D253" s="35" t="s">
        <v>373</v>
      </c>
      <c r="E253" s="37" t="s">
        <v>456</v>
      </c>
      <c r="F253" s="37" t="s">
        <v>19</v>
      </c>
      <c r="G253" s="35">
        <v>950</v>
      </c>
      <c r="H253" s="36">
        <v>100000</v>
      </c>
      <c r="I253" s="36">
        <v>155000</v>
      </c>
    </row>
    <row r="254" spans="1:9" x14ac:dyDescent="0.35">
      <c r="A254" s="35" t="s">
        <v>714</v>
      </c>
      <c r="B254" s="35" t="s">
        <v>365</v>
      </c>
      <c r="C254" s="37" t="s">
        <v>425</v>
      </c>
      <c r="D254" s="35" t="s">
        <v>373</v>
      </c>
      <c r="E254" s="37" t="s">
        <v>9</v>
      </c>
      <c r="F254" s="37" t="s">
        <v>20</v>
      </c>
      <c r="G254" s="35">
        <v>13</v>
      </c>
      <c r="H254" s="36">
        <v>100000</v>
      </c>
      <c r="I254" s="36">
        <v>155000</v>
      </c>
    </row>
    <row r="255" spans="1:9" x14ac:dyDescent="0.35">
      <c r="A255" s="35" t="s">
        <v>715</v>
      </c>
      <c r="B255" s="35" t="s">
        <v>365</v>
      </c>
      <c r="C255" s="37" t="s">
        <v>425</v>
      </c>
      <c r="D255" s="35" t="s">
        <v>373</v>
      </c>
      <c r="E255" s="37" t="s">
        <v>9</v>
      </c>
      <c r="F255" s="37" t="s">
        <v>11</v>
      </c>
      <c r="G255" s="35">
        <v>509</v>
      </c>
      <c r="H255" s="36">
        <v>100000</v>
      </c>
      <c r="I255" s="36">
        <v>155000</v>
      </c>
    </row>
    <row r="256" spans="1:9" x14ac:dyDescent="0.35">
      <c r="A256" s="35" t="s">
        <v>716</v>
      </c>
      <c r="B256" s="35" t="s">
        <v>365</v>
      </c>
      <c r="C256" s="37" t="s">
        <v>425</v>
      </c>
      <c r="D256" s="35" t="s">
        <v>373</v>
      </c>
      <c r="E256" s="37" t="s">
        <v>9</v>
      </c>
      <c r="F256" s="37" t="s">
        <v>15</v>
      </c>
      <c r="G256" s="35">
        <v>771</v>
      </c>
      <c r="H256" s="36">
        <v>100000</v>
      </c>
      <c r="I256" s="36">
        <v>155000</v>
      </c>
    </row>
    <row r="257" spans="1:9" x14ac:dyDescent="0.35">
      <c r="A257" s="35" t="s">
        <v>717</v>
      </c>
      <c r="B257" s="35" t="s">
        <v>365</v>
      </c>
      <c r="C257" s="37" t="s">
        <v>425</v>
      </c>
      <c r="D257" s="35" t="s">
        <v>373</v>
      </c>
      <c r="E257" s="37" t="s">
        <v>9</v>
      </c>
      <c r="F257" s="37" t="s">
        <v>12</v>
      </c>
      <c r="G257" s="35">
        <v>261</v>
      </c>
      <c r="H257" s="36">
        <v>100000</v>
      </c>
      <c r="I257" s="36">
        <v>155000</v>
      </c>
    </row>
    <row r="258" spans="1:9" x14ac:dyDescent="0.35">
      <c r="A258" s="35" t="s">
        <v>718</v>
      </c>
      <c r="B258" s="35" t="s">
        <v>365</v>
      </c>
      <c r="C258" s="37" t="s">
        <v>425</v>
      </c>
      <c r="D258" s="35" t="s">
        <v>373</v>
      </c>
      <c r="E258" s="37" t="s">
        <v>9</v>
      </c>
      <c r="F258" s="37" t="s">
        <v>19</v>
      </c>
      <c r="G258" s="35">
        <v>95</v>
      </c>
      <c r="H258" s="36">
        <v>100000</v>
      </c>
      <c r="I258" s="36">
        <v>155000</v>
      </c>
    </row>
    <row r="259" spans="1:9" x14ac:dyDescent="0.35">
      <c r="A259" s="35" t="s">
        <v>719</v>
      </c>
      <c r="B259" s="35" t="s">
        <v>365</v>
      </c>
      <c r="C259" s="37" t="s">
        <v>425</v>
      </c>
      <c r="D259" s="35" t="s">
        <v>373</v>
      </c>
      <c r="E259" s="37" t="s">
        <v>450</v>
      </c>
      <c r="F259" s="37" t="s">
        <v>20</v>
      </c>
      <c r="G259" s="35">
        <v>37</v>
      </c>
      <c r="H259" s="36">
        <v>100000</v>
      </c>
      <c r="I259" s="36">
        <v>155000</v>
      </c>
    </row>
    <row r="260" spans="1:9" x14ac:dyDescent="0.35">
      <c r="A260" s="35" t="s">
        <v>720</v>
      </c>
      <c r="B260" s="35" t="s">
        <v>365</v>
      </c>
      <c r="C260" s="37" t="s">
        <v>425</v>
      </c>
      <c r="D260" s="35" t="s">
        <v>373</v>
      </c>
      <c r="E260" s="37" t="s">
        <v>450</v>
      </c>
      <c r="F260" s="37" t="s">
        <v>11</v>
      </c>
      <c r="G260" s="35">
        <v>32</v>
      </c>
      <c r="H260" s="36">
        <v>100000</v>
      </c>
      <c r="I260" s="36">
        <v>155000</v>
      </c>
    </row>
    <row r="261" spans="1:9" x14ac:dyDescent="0.35">
      <c r="A261" s="35" t="s">
        <v>721</v>
      </c>
      <c r="B261" s="35" t="s">
        <v>365</v>
      </c>
      <c r="C261" s="37" t="s">
        <v>425</v>
      </c>
      <c r="D261" s="35" t="s">
        <v>373</v>
      </c>
      <c r="E261" s="37" t="s">
        <v>450</v>
      </c>
      <c r="F261" s="37" t="s">
        <v>15</v>
      </c>
      <c r="G261" s="35">
        <v>299</v>
      </c>
      <c r="H261" s="36">
        <v>100000</v>
      </c>
      <c r="I261" s="36">
        <v>155000</v>
      </c>
    </row>
    <row r="262" spans="1:9" x14ac:dyDescent="0.35">
      <c r="A262" s="35" t="s">
        <v>722</v>
      </c>
      <c r="B262" s="35" t="s">
        <v>365</v>
      </c>
      <c r="C262" s="37" t="s">
        <v>425</v>
      </c>
      <c r="D262" s="35" t="s">
        <v>373</v>
      </c>
      <c r="E262" s="37" t="s">
        <v>450</v>
      </c>
      <c r="F262" s="37" t="s">
        <v>12</v>
      </c>
      <c r="G262" s="35">
        <v>556</v>
      </c>
      <c r="H262" s="36">
        <v>100000</v>
      </c>
      <c r="I262" s="36">
        <v>155000</v>
      </c>
    </row>
    <row r="263" spans="1:9" x14ac:dyDescent="0.35">
      <c r="A263" s="35" t="s">
        <v>723</v>
      </c>
      <c r="B263" s="35" t="s">
        <v>365</v>
      </c>
      <c r="C263" s="37" t="s">
        <v>425</v>
      </c>
      <c r="D263" s="35" t="s">
        <v>373</v>
      </c>
      <c r="E263" s="37" t="s">
        <v>450</v>
      </c>
      <c r="F263" s="37" t="s">
        <v>19</v>
      </c>
      <c r="G263" s="35">
        <v>408</v>
      </c>
      <c r="H263" s="36">
        <v>100000</v>
      </c>
      <c r="I263" s="36">
        <v>155000</v>
      </c>
    </row>
    <row r="264" spans="1:9" x14ac:dyDescent="0.35">
      <c r="A264" s="35" t="s">
        <v>724</v>
      </c>
      <c r="B264" s="35" t="s">
        <v>365</v>
      </c>
      <c r="C264" s="37" t="s">
        <v>426</v>
      </c>
      <c r="D264" s="35" t="s">
        <v>373</v>
      </c>
      <c r="E264" s="37" t="s">
        <v>457</v>
      </c>
      <c r="F264" s="37" t="s">
        <v>20</v>
      </c>
      <c r="G264" s="35">
        <v>123</v>
      </c>
      <c r="H264" s="36">
        <v>100000</v>
      </c>
      <c r="I264" s="36">
        <v>155000</v>
      </c>
    </row>
    <row r="265" spans="1:9" x14ac:dyDescent="0.35">
      <c r="A265" s="35" t="s">
        <v>725</v>
      </c>
      <c r="B265" s="35" t="s">
        <v>365</v>
      </c>
      <c r="C265" s="37" t="s">
        <v>426</v>
      </c>
      <c r="D265" s="35" t="s">
        <v>373</v>
      </c>
      <c r="E265" s="37" t="s">
        <v>457</v>
      </c>
      <c r="F265" s="37" t="s">
        <v>11</v>
      </c>
      <c r="G265" s="35">
        <v>702</v>
      </c>
      <c r="H265" s="36">
        <v>100000</v>
      </c>
      <c r="I265" s="36">
        <v>155000</v>
      </c>
    </row>
    <row r="266" spans="1:9" x14ac:dyDescent="0.35">
      <c r="A266" s="35" t="s">
        <v>726</v>
      </c>
      <c r="B266" s="35" t="s">
        <v>365</v>
      </c>
      <c r="C266" s="37" t="s">
        <v>426</v>
      </c>
      <c r="D266" s="35" t="s">
        <v>373</v>
      </c>
      <c r="E266" s="37" t="s">
        <v>457</v>
      </c>
      <c r="F266" s="37" t="s">
        <v>15</v>
      </c>
      <c r="G266" s="35">
        <v>901</v>
      </c>
      <c r="H266" s="36">
        <v>100000</v>
      </c>
      <c r="I266" s="36">
        <v>155000</v>
      </c>
    </row>
    <row r="267" spans="1:9" x14ac:dyDescent="0.35">
      <c r="A267" s="35" t="s">
        <v>727</v>
      </c>
      <c r="B267" s="35" t="s">
        <v>365</v>
      </c>
      <c r="C267" s="37" t="s">
        <v>426</v>
      </c>
      <c r="D267" s="35" t="s">
        <v>373</v>
      </c>
      <c r="E267" s="37" t="s">
        <v>457</v>
      </c>
      <c r="F267" s="37" t="s">
        <v>12</v>
      </c>
      <c r="G267" s="35">
        <v>944</v>
      </c>
      <c r="H267" s="36">
        <v>100000</v>
      </c>
      <c r="I267" s="36">
        <v>155000</v>
      </c>
    </row>
    <row r="268" spans="1:9" x14ac:dyDescent="0.35">
      <c r="A268" s="35" t="s">
        <v>728</v>
      </c>
      <c r="B268" s="35" t="s">
        <v>365</v>
      </c>
      <c r="C268" s="37" t="s">
        <v>426</v>
      </c>
      <c r="D268" s="35" t="s">
        <v>373</v>
      </c>
      <c r="E268" s="37" t="s">
        <v>457</v>
      </c>
      <c r="F268" s="37" t="s">
        <v>19</v>
      </c>
      <c r="G268" s="35">
        <v>301</v>
      </c>
      <c r="H268" s="36">
        <v>100000</v>
      </c>
      <c r="I268" s="36">
        <v>155000</v>
      </c>
    </row>
    <row r="269" spans="1:9" x14ac:dyDescent="0.35">
      <c r="A269" s="35" t="s">
        <v>729</v>
      </c>
      <c r="B269" s="35" t="s">
        <v>365</v>
      </c>
      <c r="C269" s="37" t="s">
        <v>426</v>
      </c>
      <c r="D269" s="35" t="s">
        <v>373</v>
      </c>
      <c r="E269" s="37" t="s">
        <v>30</v>
      </c>
      <c r="F269" s="37" t="s">
        <v>20</v>
      </c>
      <c r="G269" s="35">
        <v>393</v>
      </c>
      <c r="H269" s="36">
        <v>100000</v>
      </c>
      <c r="I269" s="36">
        <v>155000</v>
      </c>
    </row>
    <row r="270" spans="1:9" x14ac:dyDescent="0.35">
      <c r="A270" s="35" t="s">
        <v>730</v>
      </c>
      <c r="B270" s="35" t="s">
        <v>365</v>
      </c>
      <c r="C270" s="37" t="s">
        <v>426</v>
      </c>
      <c r="D270" s="35" t="s">
        <v>373</v>
      </c>
      <c r="E270" s="37" t="s">
        <v>30</v>
      </c>
      <c r="F270" s="37" t="s">
        <v>11</v>
      </c>
      <c r="G270" s="35">
        <v>511</v>
      </c>
      <c r="H270" s="36">
        <v>100000</v>
      </c>
      <c r="I270" s="36">
        <v>155000</v>
      </c>
    </row>
    <row r="271" spans="1:9" x14ac:dyDescent="0.35">
      <c r="A271" s="35" t="s">
        <v>731</v>
      </c>
      <c r="B271" s="35" t="s">
        <v>365</v>
      </c>
      <c r="C271" s="37" t="s">
        <v>426</v>
      </c>
      <c r="D271" s="35" t="s">
        <v>373</v>
      </c>
      <c r="E271" s="37" t="s">
        <v>30</v>
      </c>
      <c r="F271" s="37" t="s">
        <v>15</v>
      </c>
      <c r="G271" s="35">
        <v>940</v>
      </c>
      <c r="H271" s="36">
        <v>100000</v>
      </c>
      <c r="I271" s="36">
        <v>155000</v>
      </c>
    </row>
    <row r="272" spans="1:9" x14ac:dyDescent="0.35">
      <c r="A272" s="35" t="s">
        <v>732</v>
      </c>
      <c r="B272" s="35" t="s">
        <v>365</v>
      </c>
      <c r="C272" s="37" t="s">
        <v>426</v>
      </c>
      <c r="D272" s="35" t="s">
        <v>373</v>
      </c>
      <c r="E272" s="37" t="s">
        <v>30</v>
      </c>
      <c r="F272" s="37" t="s">
        <v>12</v>
      </c>
      <c r="G272" s="35">
        <v>25</v>
      </c>
      <c r="H272" s="36">
        <v>100000</v>
      </c>
      <c r="I272" s="36">
        <v>155000</v>
      </c>
    </row>
    <row r="273" spans="1:9" x14ac:dyDescent="0.35">
      <c r="A273" s="35" t="s">
        <v>733</v>
      </c>
      <c r="B273" s="35" t="s">
        <v>365</v>
      </c>
      <c r="C273" s="37" t="s">
        <v>426</v>
      </c>
      <c r="D273" s="35" t="s">
        <v>373</v>
      </c>
      <c r="E273" s="37" t="s">
        <v>30</v>
      </c>
      <c r="F273" s="37" t="s">
        <v>19</v>
      </c>
      <c r="G273" s="35">
        <v>374</v>
      </c>
      <c r="H273" s="36">
        <v>100000</v>
      </c>
      <c r="I273" s="36">
        <v>155000</v>
      </c>
    </row>
    <row r="274" spans="1:9" x14ac:dyDescent="0.35">
      <c r="A274" s="35" t="s">
        <v>734</v>
      </c>
      <c r="B274" s="35" t="s">
        <v>366</v>
      </c>
      <c r="C274" s="37" t="s">
        <v>428</v>
      </c>
      <c r="D274" s="35" t="s">
        <v>374</v>
      </c>
      <c r="E274" s="37" t="s">
        <v>30</v>
      </c>
      <c r="F274" s="37" t="s">
        <v>20</v>
      </c>
      <c r="G274" s="35">
        <v>452</v>
      </c>
      <c r="H274" s="36">
        <v>210000</v>
      </c>
      <c r="I274" s="36">
        <v>265000</v>
      </c>
    </row>
    <row r="275" spans="1:9" x14ac:dyDescent="0.35">
      <c r="A275" s="35" t="s">
        <v>735</v>
      </c>
      <c r="B275" s="35" t="s">
        <v>366</v>
      </c>
      <c r="C275" s="37" t="s">
        <v>428</v>
      </c>
      <c r="D275" s="35" t="s">
        <v>374</v>
      </c>
      <c r="E275" s="37" t="s">
        <v>30</v>
      </c>
      <c r="F275" s="37" t="s">
        <v>11</v>
      </c>
      <c r="G275" s="35">
        <v>417</v>
      </c>
      <c r="H275" s="36">
        <v>210000</v>
      </c>
      <c r="I275" s="36">
        <v>265000</v>
      </c>
    </row>
    <row r="276" spans="1:9" x14ac:dyDescent="0.35">
      <c r="A276" s="35" t="s">
        <v>736</v>
      </c>
      <c r="B276" s="35" t="s">
        <v>366</v>
      </c>
      <c r="C276" s="37" t="s">
        <v>428</v>
      </c>
      <c r="D276" s="35" t="s">
        <v>374</v>
      </c>
      <c r="E276" s="37" t="s">
        <v>30</v>
      </c>
      <c r="F276" s="37" t="s">
        <v>15</v>
      </c>
      <c r="G276" s="35">
        <v>531</v>
      </c>
      <c r="H276" s="36">
        <v>210000</v>
      </c>
      <c r="I276" s="36">
        <v>265000</v>
      </c>
    </row>
    <row r="277" spans="1:9" x14ac:dyDescent="0.35">
      <c r="A277" s="35" t="s">
        <v>737</v>
      </c>
      <c r="B277" s="35" t="s">
        <v>366</v>
      </c>
      <c r="C277" s="37" t="s">
        <v>428</v>
      </c>
      <c r="D277" s="35" t="s">
        <v>374</v>
      </c>
      <c r="E277" s="37" t="s">
        <v>30</v>
      </c>
      <c r="F277" s="37" t="s">
        <v>12</v>
      </c>
      <c r="G277" s="35">
        <v>288</v>
      </c>
      <c r="H277" s="36">
        <v>210000</v>
      </c>
      <c r="I277" s="36">
        <v>265000</v>
      </c>
    </row>
    <row r="278" spans="1:9" x14ac:dyDescent="0.35">
      <c r="A278" s="35" t="s">
        <v>738</v>
      </c>
      <c r="B278" s="35" t="s">
        <v>366</v>
      </c>
      <c r="C278" s="37" t="s">
        <v>428</v>
      </c>
      <c r="D278" s="35" t="s">
        <v>374</v>
      </c>
      <c r="E278" s="37" t="s">
        <v>30</v>
      </c>
      <c r="F278" s="37" t="s">
        <v>19</v>
      </c>
      <c r="G278" s="35">
        <v>595</v>
      </c>
      <c r="H278" s="36">
        <v>210000</v>
      </c>
      <c r="I278" s="36">
        <v>265000</v>
      </c>
    </row>
    <row r="279" spans="1:9" x14ac:dyDescent="0.35">
      <c r="A279" s="35" t="s">
        <v>739</v>
      </c>
      <c r="B279" s="35" t="s">
        <v>366</v>
      </c>
      <c r="C279" s="37" t="s">
        <v>428</v>
      </c>
      <c r="D279" s="35" t="s">
        <v>374</v>
      </c>
      <c r="E279" s="37" t="s">
        <v>450</v>
      </c>
      <c r="F279" s="37" t="s">
        <v>20</v>
      </c>
      <c r="G279" s="35">
        <v>487</v>
      </c>
      <c r="H279" s="36">
        <v>210000</v>
      </c>
      <c r="I279" s="36">
        <v>265000</v>
      </c>
    </row>
    <row r="280" spans="1:9" x14ac:dyDescent="0.35">
      <c r="A280" s="35" t="s">
        <v>740</v>
      </c>
      <c r="B280" s="35" t="s">
        <v>366</v>
      </c>
      <c r="C280" s="37" t="s">
        <v>428</v>
      </c>
      <c r="D280" s="35" t="s">
        <v>374</v>
      </c>
      <c r="E280" s="37" t="s">
        <v>450</v>
      </c>
      <c r="F280" s="37" t="s">
        <v>11</v>
      </c>
      <c r="G280" s="35">
        <v>535</v>
      </c>
      <c r="H280" s="36">
        <v>210000</v>
      </c>
      <c r="I280" s="36">
        <v>265000</v>
      </c>
    </row>
    <row r="281" spans="1:9" x14ac:dyDescent="0.35">
      <c r="A281" s="35" t="s">
        <v>741</v>
      </c>
      <c r="B281" s="35" t="s">
        <v>366</v>
      </c>
      <c r="C281" s="37" t="s">
        <v>428</v>
      </c>
      <c r="D281" s="35" t="s">
        <v>374</v>
      </c>
      <c r="E281" s="37" t="s">
        <v>450</v>
      </c>
      <c r="F281" s="37" t="s">
        <v>15</v>
      </c>
      <c r="G281" s="35">
        <v>341</v>
      </c>
      <c r="H281" s="36">
        <v>210000</v>
      </c>
      <c r="I281" s="36">
        <v>265000</v>
      </c>
    </row>
    <row r="282" spans="1:9" x14ac:dyDescent="0.35">
      <c r="A282" s="35" t="s">
        <v>742</v>
      </c>
      <c r="B282" s="35" t="s">
        <v>366</v>
      </c>
      <c r="C282" s="37" t="s">
        <v>428</v>
      </c>
      <c r="D282" s="35" t="s">
        <v>374</v>
      </c>
      <c r="E282" s="37" t="s">
        <v>450</v>
      </c>
      <c r="F282" s="37" t="s">
        <v>12</v>
      </c>
      <c r="G282" s="35">
        <v>446</v>
      </c>
      <c r="H282" s="36">
        <v>210000</v>
      </c>
      <c r="I282" s="36">
        <v>265000</v>
      </c>
    </row>
    <row r="283" spans="1:9" x14ac:dyDescent="0.35">
      <c r="A283" s="35" t="s">
        <v>743</v>
      </c>
      <c r="B283" s="35" t="s">
        <v>366</v>
      </c>
      <c r="C283" s="37" t="s">
        <v>428</v>
      </c>
      <c r="D283" s="35" t="s">
        <v>374</v>
      </c>
      <c r="E283" s="37" t="s">
        <v>450</v>
      </c>
      <c r="F283" s="37" t="s">
        <v>19</v>
      </c>
      <c r="G283" s="35">
        <v>332</v>
      </c>
      <c r="H283" s="36">
        <v>210000</v>
      </c>
      <c r="I283" s="36">
        <v>265000</v>
      </c>
    </row>
    <row r="284" spans="1:9" x14ac:dyDescent="0.35">
      <c r="A284" s="35" t="s">
        <v>744</v>
      </c>
      <c r="B284" s="35" t="s">
        <v>366</v>
      </c>
      <c r="C284" s="37" t="s">
        <v>431</v>
      </c>
      <c r="D284" s="35" t="s">
        <v>374</v>
      </c>
      <c r="E284" s="37" t="s">
        <v>9</v>
      </c>
      <c r="F284" s="37" t="s">
        <v>20</v>
      </c>
      <c r="G284" s="35">
        <v>196</v>
      </c>
      <c r="H284" s="36">
        <v>260000</v>
      </c>
      <c r="I284" s="36">
        <v>320000</v>
      </c>
    </row>
    <row r="285" spans="1:9" x14ac:dyDescent="0.35">
      <c r="A285" s="35" t="s">
        <v>745</v>
      </c>
      <c r="B285" s="35" t="s">
        <v>366</v>
      </c>
      <c r="C285" s="37" t="s">
        <v>431</v>
      </c>
      <c r="D285" s="35" t="s">
        <v>374</v>
      </c>
      <c r="E285" s="37" t="s">
        <v>9</v>
      </c>
      <c r="F285" s="37" t="s">
        <v>11</v>
      </c>
      <c r="G285" s="35">
        <v>719</v>
      </c>
      <c r="H285" s="36">
        <v>260000</v>
      </c>
      <c r="I285" s="36">
        <v>320000</v>
      </c>
    </row>
    <row r="286" spans="1:9" x14ac:dyDescent="0.35">
      <c r="A286" s="35" t="s">
        <v>746</v>
      </c>
      <c r="B286" s="35" t="s">
        <v>366</v>
      </c>
      <c r="C286" s="37" t="s">
        <v>431</v>
      </c>
      <c r="D286" s="35" t="s">
        <v>374</v>
      </c>
      <c r="E286" s="37" t="s">
        <v>9</v>
      </c>
      <c r="F286" s="37" t="s">
        <v>15</v>
      </c>
      <c r="G286" s="35">
        <v>578</v>
      </c>
      <c r="H286" s="36">
        <v>260000</v>
      </c>
      <c r="I286" s="36">
        <v>320000</v>
      </c>
    </row>
    <row r="287" spans="1:9" x14ac:dyDescent="0.35">
      <c r="A287" s="35" t="s">
        <v>747</v>
      </c>
      <c r="B287" s="35" t="s">
        <v>366</v>
      </c>
      <c r="C287" s="37" t="s">
        <v>431</v>
      </c>
      <c r="D287" s="35" t="s">
        <v>374</v>
      </c>
      <c r="E287" s="37" t="s">
        <v>9</v>
      </c>
      <c r="F287" s="37" t="s">
        <v>12</v>
      </c>
      <c r="G287" s="35">
        <v>454</v>
      </c>
      <c r="H287" s="36">
        <v>260000</v>
      </c>
      <c r="I287" s="36">
        <v>320000</v>
      </c>
    </row>
    <row r="288" spans="1:9" x14ac:dyDescent="0.35">
      <c r="A288" s="35" t="s">
        <v>748</v>
      </c>
      <c r="B288" s="35" t="s">
        <v>366</v>
      </c>
      <c r="C288" s="37" t="s">
        <v>431</v>
      </c>
      <c r="D288" s="35" t="s">
        <v>374</v>
      </c>
      <c r="E288" s="37" t="s">
        <v>9</v>
      </c>
      <c r="F288" s="37" t="s">
        <v>19</v>
      </c>
      <c r="G288" s="35">
        <v>504</v>
      </c>
      <c r="H288" s="36">
        <v>260000</v>
      </c>
      <c r="I288" s="36">
        <v>320000</v>
      </c>
    </row>
    <row r="289" spans="1:9" x14ac:dyDescent="0.35">
      <c r="A289" s="35" t="s">
        <v>749</v>
      </c>
      <c r="B289" s="35" t="s">
        <v>366</v>
      </c>
      <c r="C289" s="37" t="s">
        <v>431</v>
      </c>
      <c r="D289" s="35" t="s">
        <v>374</v>
      </c>
      <c r="E289" s="37" t="s">
        <v>30</v>
      </c>
      <c r="F289" s="37" t="s">
        <v>20</v>
      </c>
      <c r="G289" s="35">
        <v>192</v>
      </c>
      <c r="H289" s="36">
        <v>260000</v>
      </c>
      <c r="I289" s="36">
        <v>320000</v>
      </c>
    </row>
    <row r="290" spans="1:9" x14ac:dyDescent="0.35">
      <c r="A290" s="35" t="s">
        <v>750</v>
      </c>
      <c r="B290" s="35" t="s">
        <v>366</v>
      </c>
      <c r="C290" s="37" t="s">
        <v>431</v>
      </c>
      <c r="D290" s="35" t="s">
        <v>374</v>
      </c>
      <c r="E290" s="37" t="s">
        <v>30</v>
      </c>
      <c r="F290" s="37" t="s">
        <v>11</v>
      </c>
      <c r="G290" s="35">
        <v>454</v>
      </c>
      <c r="H290" s="36">
        <v>260000</v>
      </c>
      <c r="I290" s="36">
        <v>320000</v>
      </c>
    </row>
    <row r="291" spans="1:9" x14ac:dyDescent="0.35">
      <c r="A291" s="35" t="s">
        <v>751</v>
      </c>
      <c r="B291" s="35" t="s">
        <v>366</v>
      </c>
      <c r="C291" s="37" t="s">
        <v>431</v>
      </c>
      <c r="D291" s="35" t="s">
        <v>374</v>
      </c>
      <c r="E291" s="37" t="s">
        <v>30</v>
      </c>
      <c r="F291" s="37" t="s">
        <v>15</v>
      </c>
      <c r="G291" s="35">
        <v>273</v>
      </c>
      <c r="H291" s="36">
        <v>260000</v>
      </c>
      <c r="I291" s="36">
        <v>320000</v>
      </c>
    </row>
    <row r="292" spans="1:9" x14ac:dyDescent="0.35">
      <c r="A292" s="35" t="s">
        <v>752</v>
      </c>
      <c r="B292" s="35" t="s">
        <v>366</v>
      </c>
      <c r="C292" s="37" t="s">
        <v>431</v>
      </c>
      <c r="D292" s="35" t="s">
        <v>374</v>
      </c>
      <c r="E292" s="37" t="s">
        <v>30</v>
      </c>
      <c r="F292" s="37" t="s">
        <v>12</v>
      </c>
      <c r="G292" s="35">
        <v>265</v>
      </c>
      <c r="H292" s="36">
        <v>260000</v>
      </c>
      <c r="I292" s="36">
        <v>320000</v>
      </c>
    </row>
    <row r="293" spans="1:9" x14ac:dyDescent="0.35">
      <c r="A293" s="35" t="s">
        <v>753</v>
      </c>
      <c r="B293" s="35" t="s">
        <v>366</v>
      </c>
      <c r="C293" s="38" t="s">
        <v>458</v>
      </c>
      <c r="D293" s="35" t="s">
        <v>374</v>
      </c>
      <c r="E293" s="38" t="s">
        <v>9</v>
      </c>
      <c r="F293" s="38" t="s">
        <v>20</v>
      </c>
      <c r="G293" s="35">
        <v>360</v>
      </c>
      <c r="H293" s="36">
        <v>220000</v>
      </c>
      <c r="I293" s="36">
        <v>270000</v>
      </c>
    </row>
    <row r="294" spans="1:9" x14ac:dyDescent="0.35">
      <c r="A294" s="35" t="s">
        <v>754</v>
      </c>
      <c r="B294" s="35" t="s">
        <v>366</v>
      </c>
      <c r="C294" s="38" t="s">
        <v>458</v>
      </c>
      <c r="D294" s="35" t="s">
        <v>374</v>
      </c>
      <c r="E294" s="38" t="s">
        <v>9</v>
      </c>
      <c r="F294" s="38" t="s">
        <v>11</v>
      </c>
      <c r="G294" s="35">
        <v>271</v>
      </c>
      <c r="H294" s="36">
        <v>220000</v>
      </c>
      <c r="I294" s="36">
        <v>270000</v>
      </c>
    </row>
    <row r="295" spans="1:9" x14ac:dyDescent="0.35">
      <c r="A295" s="35" t="s">
        <v>755</v>
      </c>
      <c r="B295" s="35" t="s">
        <v>366</v>
      </c>
      <c r="C295" s="38" t="s">
        <v>458</v>
      </c>
      <c r="D295" s="35" t="s">
        <v>374</v>
      </c>
      <c r="E295" s="38" t="s">
        <v>9</v>
      </c>
      <c r="F295" s="38" t="s">
        <v>15</v>
      </c>
      <c r="G295" s="35">
        <v>280</v>
      </c>
      <c r="H295" s="36">
        <v>220000</v>
      </c>
      <c r="I295" s="36">
        <v>270000</v>
      </c>
    </row>
    <row r="296" spans="1:9" x14ac:dyDescent="0.35">
      <c r="A296" s="35" t="s">
        <v>756</v>
      </c>
      <c r="B296" s="35" t="s">
        <v>366</v>
      </c>
      <c r="C296" s="38" t="s">
        <v>458</v>
      </c>
      <c r="D296" s="35" t="s">
        <v>374</v>
      </c>
      <c r="E296" s="38" t="s">
        <v>8</v>
      </c>
      <c r="F296" s="38" t="s">
        <v>20</v>
      </c>
      <c r="G296" s="35">
        <v>364</v>
      </c>
      <c r="H296" s="36">
        <v>220000</v>
      </c>
      <c r="I296" s="36">
        <v>270000</v>
      </c>
    </row>
    <row r="297" spans="1:9" x14ac:dyDescent="0.35">
      <c r="A297" s="35" t="s">
        <v>757</v>
      </c>
      <c r="B297" s="35" t="s">
        <v>366</v>
      </c>
      <c r="C297" s="38" t="s">
        <v>458</v>
      </c>
      <c r="D297" s="35" t="s">
        <v>374</v>
      </c>
      <c r="E297" s="38" t="s">
        <v>8</v>
      </c>
      <c r="F297" s="38" t="s">
        <v>11</v>
      </c>
      <c r="G297" s="35">
        <v>514</v>
      </c>
      <c r="H297" s="36">
        <v>220000</v>
      </c>
      <c r="I297" s="36">
        <v>270000</v>
      </c>
    </row>
    <row r="298" spans="1:9" x14ac:dyDescent="0.35">
      <c r="A298" s="35" t="s">
        <v>758</v>
      </c>
      <c r="B298" s="35" t="s">
        <v>366</v>
      </c>
      <c r="C298" s="38" t="s">
        <v>458</v>
      </c>
      <c r="D298" s="35" t="s">
        <v>374</v>
      </c>
      <c r="E298" s="38" t="s">
        <v>8</v>
      </c>
      <c r="F298" s="38" t="s">
        <v>15</v>
      </c>
      <c r="G298" s="35">
        <v>496</v>
      </c>
      <c r="H298" s="36">
        <v>220000</v>
      </c>
      <c r="I298" s="36">
        <v>270000</v>
      </c>
    </row>
    <row r="299" spans="1:9" x14ac:dyDescent="0.35">
      <c r="A299" s="35" t="s">
        <v>759</v>
      </c>
      <c r="B299" s="35" t="s">
        <v>366</v>
      </c>
      <c r="C299" s="38" t="s">
        <v>459</v>
      </c>
      <c r="D299" s="35" t="s">
        <v>374</v>
      </c>
      <c r="E299" s="38" t="s">
        <v>460</v>
      </c>
      <c r="F299" s="38" t="s">
        <v>20</v>
      </c>
      <c r="G299" s="35">
        <v>516</v>
      </c>
      <c r="H299" s="36">
        <v>291000</v>
      </c>
      <c r="I299" s="36">
        <v>335000</v>
      </c>
    </row>
    <row r="300" spans="1:9" x14ac:dyDescent="0.35">
      <c r="A300" s="35" t="s">
        <v>760</v>
      </c>
      <c r="B300" s="35" t="s">
        <v>366</v>
      </c>
      <c r="C300" s="38" t="s">
        <v>459</v>
      </c>
      <c r="D300" s="35" t="s">
        <v>374</v>
      </c>
      <c r="E300" s="38" t="s">
        <v>460</v>
      </c>
      <c r="F300" s="38" t="s">
        <v>11</v>
      </c>
      <c r="G300" s="35">
        <v>537</v>
      </c>
      <c r="H300" s="36">
        <v>291000</v>
      </c>
      <c r="I300" s="36">
        <v>335000</v>
      </c>
    </row>
    <row r="301" spans="1:9" x14ac:dyDescent="0.35">
      <c r="A301" s="35" t="s">
        <v>761</v>
      </c>
      <c r="B301" s="35" t="s">
        <v>366</v>
      </c>
      <c r="C301" s="38" t="s">
        <v>459</v>
      </c>
      <c r="D301" s="35" t="s">
        <v>374</v>
      </c>
      <c r="E301" s="38" t="s">
        <v>460</v>
      </c>
      <c r="F301" s="38" t="s">
        <v>15</v>
      </c>
      <c r="G301" s="35">
        <v>313</v>
      </c>
      <c r="H301" s="36">
        <v>291000</v>
      </c>
      <c r="I301" s="36">
        <v>335000</v>
      </c>
    </row>
    <row r="302" spans="1:9" x14ac:dyDescent="0.35">
      <c r="A302" s="35" t="s">
        <v>762</v>
      </c>
      <c r="B302" s="35" t="s">
        <v>366</v>
      </c>
      <c r="C302" s="38" t="s">
        <v>459</v>
      </c>
      <c r="D302" s="35" t="s">
        <v>374</v>
      </c>
      <c r="E302" s="38" t="s">
        <v>461</v>
      </c>
      <c r="F302" s="38" t="s">
        <v>20</v>
      </c>
      <c r="G302" s="35">
        <v>312</v>
      </c>
      <c r="H302" s="36">
        <v>291000</v>
      </c>
      <c r="I302" s="36">
        <v>335000</v>
      </c>
    </row>
    <row r="303" spans="1:9" x14ac:dyDescent="0.35">
      <c r="A303" s="35" t="s">
        <v>763</v>
      </c>
      <c r="B303" s="35" t="s">
        <v>366</v>
      </c>
      <c r="C303" s="38" t="s">
        <v>459</v>
      </c>
      <c r="D303" s="35" t="s">
        <v>374</v>
      </c>
      <c r="E303" s="38" t="s">
        <v>461</v>
      </c>
      <c r="F303" s="38" t="s">
        <v>11</v>
      </c>
      <c r="G303" s="35">
        <v>349</v>
      </c>
      <c r="H303" s="36">
        <v>291000</v>
      </c>
      <c r="I303" s="36">
        <v>335000</v>
      </c>
    </row>
    <row r="304" spans="1:9" x14ac:dyDescent="0.35">
      <c r="A304" s="35" t="s">
        <v>764</v>
      </c>
      <c r="B304" s="35" t="s">
        <v>366</v>
      </c>
      <c r="C304" s="38" t="s">
        <v>459</v>
      </c>
      <c r="D304" s="35" t="s">
        <v>374</v>
      </c>
      <c r="E304" s="38" t="s">
        <v>461</v>
      </c>
      <c r="F304" s="38" t="s">
        <v>15</v>
      </c>
      <c r="G304" s="35">
        <v>412</v>
      </c>
      <c r="H304" s="36">
        <v>291000</v>
      </c>
      <c r="I304" s="36">
        <v>335000</v>
      </c>
    </row>
    <row r="305" spans="1:9" x14ac:dyDescent="0.35">
      <c r="A305" s="35" t="s">
        <v>1024</v>
      </c>
      <c r="B305" s="35" t="s">
        <v>366</v>
      </c>
      <c r="C305" s="38" t="s">
        <v>1025</v>
      </c>
      <c r="D305" s="35" t="s">
        <v>374</v>
      </c>
      <c r="E305" s="38" t="s">
        <v>8</v>
      </c>
      <c r="F305" s="38" t="s">
        <v>1026</v>
      </c>
      <c r="G305" s="35">
        <v>500</v>
      </c>
      <c r="H305" s="36">
        <v>180000</v>
      </c>
      <c r="I305" s="36">
        <v>250000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8D01-F6C9-4502-93ED-D80A4B226DD2}">
  <dimension ref="A1:P134"/>
  <sheetViews>
    <sheetView tabSelected="1" topLeftCell="E120" zoomScale="94" workbookViewId="0">
      <selection activeCell="P1" sqref="P1:P132"/>
    </sheetView>
  </sheetViews>
  <sheetFormatPr defaultRowHeight="15.5" x14ac:dyDescent="0.35"/>
  <cols>
    <col min="1" max="1" width="10.26953125" style="45" customWidth="1"/>
    <col min="2" max="2" width="10.453125" style="45" customWidth="1"/>
    <col min="3" max="3" width="8.7265625" style="45"/>
    <col min="4" max="4" width="9.81640625" style="45" bestFit="1" customWidth="1"/>
    <col min="5" max="5" width="23.36328125" style="45" customWidth="1"/>
    <col min="6" max="6" width="13.36328125" style="45" bestFit="1" customWidth="1"/>
    <col min="7" max="7" width="12.81640625" style="45" customWidth="1"/>
    <col min="8" max="8" width="13.36328125" style="47" bestFit="1" customWidth="1"/>
    <col min="9" max="9" width="13.36328125" style="47" customWidth="1"/>
    <col min="10" max="10" width="8.08984375" style="45" customWidth="1"/>
    <col min="11" max="11" width="16.08984375" style="45" bestFit="1" customWidth="1"/>
    <col min="12" max="12" width="18.7265625" style="47" customWidth="1"/>
    <col min="13" max="13" width="22.08984375" style="85" customWidth="1"/>
    <col min="14" max="14" width="22" style="45" bestFit="1" customWidth="1"/>
    <col min="15" max="15" width="13.26953125" style="45" bestFit="1" customWidth="1"/>
    <col min="16" max="16" width="8.81640625" style="45" customWidth="1"/>
    <col min="17" max="16384" width="8.7265625" style="45"/>
  </cols>
  <sheetData>
    <row r="1" spans="1:16" s="44" customFormat="1" ht="19" customHeight="1" x14ac:dyDescent="0.35">
      <c r="A1" s="80" t="s">
        <v>765</v>
      </c>
      <c r="B1" s="82" t="s">
        <v>219</v>
      </c>
      <c r="C1" s="82" t="s">
        <v>241</v>
      </c>
      <c r="D1" s="82" t="s">
        <v>234</v>
      </c>
      <c r="E1" s="82" t="s">
        <v>766</v>
      </c>
      <c r="F1" s="82" t="s">
        <v>767</v>
      </c>
      <c r="G1" s="79" t="s">
        <v>768</v>
      </c>
      <c r="H1" s="81" t="s">
        <v>770</v>
      </c>
      <c r="I1" s="81" t="s">
        <v>778</v>
      </c>
      <c r="J1" s="82" t="s">
        <v>771</v>
      </c>
      <c r="K1" s="82" t="s">
        <v>772</v>
      </c>
      <c r="L1" s="81" t="s">
        <v>773</v>
      </c>
      <c r="M1" s="84" t="s">
        <v>1038</v>
      </c>
      <c r="N1" s="83" t="s">
        <v>1039</v>
      </c>
      <c r="O1" s="82" t="s">
        <v>769</v>
      </c>
      <c r="P1" s="2" t="s">
        <v>1129</v>
      </c>
    </row>
    <row r="2" spans="1:16" x14ac:dyDescent="0.35">
      <c r="A2" s="45" t="s">
        <v>774</v>
      </c>
      <c r="B2" s="45" t="s">
        <v>226</v>
      </c>
      <c r="C2" s="45" t="s">
        <v>381</v>
      </c>
      <c r="D2" s="45" t="s">
        <v>295</v>
      </c>
      <c r="E2" s="45" t="s">
        <v>1</v>
      </c>
      <c r="F2" s="46">
        <v>962735841</v>
      </c>
      <c r="G2" s="96">
        <v>45689</v>
      </c>
      <c r="H2" s="47">
        <v>820000</v>
      </c>
      <c r="I2" s="47">
        <f t="shared" ref="I2:I33" si="0">IF(AND(G2=DATE(2025,7,7), H2&gt;=1000000), "DIS_003A",
   IF(AND(G2=DATE(2025,7,15), H2&gt;=1000000), "DIS_003B", 0))</f>
        <v>0</v>
      </c>
      <c r="J2" s="45">
        <f t="shared" ref="J2:J33" si="1">IF(AND(OR(G2=DATE(2025,7,7), G2=DATE(2025,7,15)), H2 &gt;= 1000000), 20, 0)</f>
        <v>0</v>
      </c>
      <c r="K2" s="47">
        <f>H2*J2%</f>
        <v>0</v>
      </c>
      <c r="L2" s="47">
        <f>H2-K2</f>
        <v>820000</v>
      </c>
      <c r="M2" s="85" t="s">
        <v>164</v>
      </c>
      <c r="N2" s="45" t="str">
        <f>IFERROR(VLOOKUP(B2, Store!$A:$C, 3, FALSE), "")</f>
        <v>Thành phố Hồ Chí Minh</v>
      </c>
      <c r="O2" s="45" t="s">
        <v>775</v>
      </c>
      <c r="P2" s="35" t="s">
        <v>1130</v>
      </c>
    </row>
    <row r="3" spans="1:16" x14ac:dyDescent="0.35">
      <c r="A3" s="48" t="s">
        <v>800</v>
      </c>
      <c r="B3" s="48" t="s">
        <v>222</v>
      </c>
      <c r="C3" s="45" t="s">
        <v>394</v>
      </c>
      <c r="D3" s="48" t="s">
        <v>305</v>
      </c>
      <c r="E3" s="48" t="s">
        <v>41</v>
      </c>
      <c r="F3" s="48">
        <v>931678201</v>
      </c>
      <c r="G3" s="96">
        <v>45689</v>
      </c>
      <c r="H3" s="49">
        <v>180000</v>
      </c>
      <c r="I3" s="47">
        <f t="shared" si="0"/>
        <v>0</v>
      </c>
      <c r="J3" s="45">
        <f t="shared" si="1"/>
        <v>0</v>
      </c>
      <c r="K3" s="47">
        <f t="shared" ref="K3:K66" si="2">H3*J3%</f>
        <v>0</v>
      </c>
      <c r="L3" s="47">
        <f t="shared" ref="L3:L66" si="3">H3-K3</f>
        <v>180000</v>
      </c>
      <c r="M3" s="85" t="s">
        <v>1093</v>
      </c>
      <c r="N3" s="45" t="s">
        <v>1094</v>
      </c>
      <c r="O3" s="48" t="s">
        <v>775</v>
      </c>
      <c r="P3" s="35" t="s">
        <v>1130</v>
      </c>
    </row>
    <row r="4" spans="1:16" x14ac:dyDescent="0.35">
      <c r="A4" s="48" t="s">
        <v>801</v>
      </c>
      <c r="B4" s="48" t="s">
        <v>226</v>
      </c>
      <c r="C4" s="45" t="s">
        <v>395</v>
      </c>
      <c r="D4" s="48" t="s">
        <v>319</v>
      </c>
      <c r="E4" s="48" t="s">
        <v>52</v>
      </c>
      <c r="F4" s="48">
        <v>817623495</v>
      </c>
      <c r="G4" s="96">
        <v>45689</v>
      </c>
      <c r="H4" s="49">
        <v>735000</v>
      </c>
      <c r="I4" s="47">
        <f t="shared" si="0"/>
        <v>0</v>
      </c>
      <c r="J4" s="45">
        <f t="shared" si="1"/>
        <v>0</v>
      </c>
      <c r="K4" s="47">
        <f t="shared" si="2"/>
        <v>0</v>
      </c>
      <c r="L4" s="47">
        <f t="shared" si="3"/>
        <v>735000</v>
      </c>
      <c r="M4" s="85" t="s">
        <v>224</v>
      </c>
      <c r="N4" s="45" t="str">
        <f>IFERROR(VLOOKUP(B4, Store!$A:$C, 3, FALSE), "")</f>
        <v>Thành phố Hồ Chí Minh</v>
      </c>
      <c r="O4" s="48" t="s">
        <v>775</v>
      </c>
      <c r="P4" s="35" t="s">
        <v>1130</v>
      </c>
    </row>
    <row r="5" spans="1:16" x14ac:dyDescent="0.35">
      <c r="A5" s="48" t="s">
        <v>802</v>
      </c>
      <c r="B5" s="48" t="s">
        <v>223</v>
      </c>
      <c r="C5" s="45" t="s">
        <v>387</v>
      </c>
      <c r="D5" s="48" t="s">
        <v>330</v>
      </c>
      <c r="E5" s="48" t="s">
        <v>40</v>
      </c>
      <c r="F5" s="48">
        <v>704957129</v>
      </c>
      <c r="G5" s="96">
        <v>45689</v>
      </c>
      <c r="H5" s="49">
        <v>360000</v>
      </c>
      <c r="I5" s="47">
        <f t="shared" si="0"/>
        <v>0</v>
      </c>
      <c r="J5" s="45">
        <f t="shared" si="1"/>
        <v>0</v>
      </c>
      <c r="K5" s="47">
        <f t="shared" si="2"/>
        <v>0</v>
      </c>
      <c r="L5" s="47">
        <f t="shared" si="3"/>
        <v>360000</v>
      </c>
      <c r="M5" s="86" t="s">
        <v>1046</v>
      </c>
      <c r="N5" s="45" t="str">
        <f>IFERROR(VLOOKUP(B5, Store!$A:$C, 3, FALSE), "")</f>
        <v>Thành phố Cần Thơ</v>
      </c>
      <c r="O5" s="48" t="s">
        <v>775</v>
      </c>
      <c r="P5" s="35" t="s">
        <v>1130</v>
      </c>
    </row>
    <row r="6" spans="1:16" x14ac:dyDescent="0.35">
      <c r="A6" s="48" t="s">
        <v>803</v>
      </c>
      <c r="B6" s="48" t="s">
        <v>222</v>
      </c>
      <c r="C6" s="45" t="s">
        <v>384</v>
      </c>
      <c r="D6" s="48" t="s">
        <v>341</v>
      </c>
      <c r="E6" s="48" t="s">
        <v>121</v>
      </c>
      <c r="F6" s="48">
        <v>869341028</v>
      </c>
      <c r="G6" s="96">
        <v>45689</v>
      </c>
      <c r="H6" s="49">
        <v>530000</v>
      </c>
      <c r="I6" s="47">
        <f t="shared" si="0"/>
        <v>0</v>
      </c>
      <c r="J6" s="45">
        <f t="shared" si="1"/>
        <v>0</v>
      </c>
      <c r="K6" s="47">
        <f t="shared" si="2"/>
        <v>0</v>
      </c>
      <c r="L6" s="47">
        <f t="shared" si="3"/>
        <v>530000</v>
      </c>
      <c r="M6" s="85" t="s">
        <v>1096</v>
      </c>
      <c r="N6" s="45" t="s">
        <v>208</v>
      </c>
      <c r="O6" s="48" t="s">
        <v>775</v>
      </c>
      <c r="P6" s="35" t="s">
        <v>1130</v>
      </c>
    </row>
    <row r="7" spans="1:16" x14ac:dyDescent="0.35">
      <c r="A7" s="48" t="s">
        <v>804</v>
      </c>
      <c r="B7" s="48" t="s">
        <v>222</v>
      </c>
      <c r="C7" s="45" t="s">
        <v>380</v>
      </c>
      <c r="D7" s="48" t="s">
        <v>352</v>
      </c>
      <c r="E7" s="48" t="s">
        <v>131</v>
      </c>
      <c r="F7" s="48">
        <v>823674901</v>
      </c>
      <c r="G7" s="96">
        <v>45689</v>
      </c>
      <c r="H7" s="49">
        <v>1000000</v>
      </c>
      <c r="I7" s="47">
        <f t="shared" si="0"/>
        <v>0</v>
      </c>
      <c r="J7" s="45">
        <f t="shared" si="1"/>
        <v>0</v>
      </c>
      <c r="K7" s="47">
        <f t="shared" si="2"/>
        <v>0</v>
      </c>
      <c r="L7" s="47">
        <f t="shared" si="3"/>
        <v>1000000</v>
      </c>
      <c r="M7" s="86" t="s">
        <v>1047</v>
      </c>
      <c r="N7" s="45" t="str">
        <f>IFERROR(VLOOKUP(B7, Store!$A:$C, 3, FALSE), "")</f>
        <v>Thành phố Hà Nội</v>
      </c>
      <c r="O7" s="48" t="s">
        <v>775</v>
      </c>
      <c r="P7" s="35" t="s">
        <v>1130</v>
      </c>
    </row>
    <row r="8" spans="1:16" x14ac:dyDescent="0.35">
      <c r="A8" s="48" t="s">
        <v>805</v>
      </c>
      <c r="B8" s="48" t="s">
        <v>222</v>
      </c>
      <c r="C8" s="45" t="s">
        <v>383</v>
      </c>
      <c r="D8" s="48" t="s">
        <v>326</v>
      </c>
      <c r="E8" s="48" t="s">
        <v>36</v>
      </c>
      <c r="F8" s="48">
        <v>936872041</v>
      </c>
      <c r="G8" s="96">
        <v>45689</v>
      </c>
      <c r="H8" s="49">
        <v>180000</v>
      </c>
      <c r="I8" s="47">
        <f t="shared" si="0"/>
        <v>0</v>
      </c>
      <c r="J8" s="45">
        <f t="shared" si="1"/>
        <v>0</v>
      </c>
      <c r="K8" s="47">
        <f t="shared" si="2"/>
        <v>0</v>
      </c>
      <c r="L8" s="47">
        <f t="shared" si="3"/>
        <v>180000</v>
      </c>
      <c r="M8" s="85" t="s">
        <v>170</v>
      </c>
      <c r="N8" s="45" t="str">
        <f>IFERROR(VLOOKUP(B8, Store!$A:$C, 3, FALSE), "")</f>
        <v>Thành phố Hà Nội</v>
      </c>
      <c r="O8" s="48" t="s">
        <v>775</v>
      </c>
      <c r="P8" s="35" t="s">
        <v>1130</v>
      </c>
    </row>
    <row r="9" spans="1:16" x14ac:dyDescent="0.35">
      <c r="A9" s="48" t="s">
        <v>806</v>
      </c>
      <c r="B9" s="48" t="s">
        <v>226</v>
      </c>
      <c r="C9" s="45" t="s">
        <v>376</v>
      </c>
      <c r="D9" s="48" t="s">
        <v>314</v>
      </c>
      <c r="E9" s="48" t="s">
        <v>47</v>
      </c>
      <c r="F9" s="48">
        <v>775396842</v>
      </c>
      <c r="G9" s="96">
        <v>45689</v>
      </c>
      <c r="H9" s="49">
        <v>460000</v>
      </c>
      <c r="I9" s="47">
        <f t="shared" si="0"/>
        <v>0</v>
      </c>
      <c r="J9" s="45">
        <f t="shared" si="1"/>
        <v>0</v>
      </c>
      <c r="K9" s="47">
        <f t="shared" si="2"/>
        <v>0</v>
      </c>
      <c r="L9" s="47">
        <f t="shared" si="3"/>
        <v>460000</v>
      </c>
      <c r="M9" s="85" t="s">
        <v>176</v>
      </c>
      <c r="N9" s="45" t="str">
        <f>IFERROR(VLOOKUP(B9, Store!$A:$C, 3, FALSE), "")</f>
        <v>Thành phố Hồ Chí Minh</v>
      </c>
      <c r="O9" s="48" t="s">
        <v>775</v>
      </c>
      <c r="P9" s="35" t="s">
        <v>1130</v>
      </c>
    </row>
    <row r="10" spans="1:16" x14ac:dyDescent="0.35">
      <c r="A10" s="48" t="s">
        <v>807</v>
      </c>
      <c r="B10" s="48" t="s">
        <v>222</v>
      </c>
      <c r="C10" s="45" t="s">
        <v>383</v>
      </c>
      <c r="D10" s="48" t="s">
        <v>325</v>
      </c>
      <c r="E10" s="48" t="s">
        <v>58</v>
      </c>
      <c r="F10" s="48">
        <v>830947512</v>
      </c>
      <c r="G10" s="96">
        <v>45689</v>
      </c>
      <c r="H10" s="49">
        <v>360000</v>
      </c>
      <c r="I10" s="47">
        <f t="shared" si="0"/>
        <v>0</v>
      </c>
      <c r="J10" s="45">
        <f t="shared" si="1"/>
        <v>0</v>
      </c>
      <c r="K10" s="47">
        <f t="shared" si="2"/>
        <v>0</v>
      </c>
      <c r="L10" s="47">
        <f t="shared" si="3"/>
        <v>360000</v>
      </c>
      <c r="M10" s="85" t="s">
        <v>170</v>
      </c>
      <c r="N10" s="45" t="str">
        <f>IFERROR(VLOOKUP(B10, Store!$A:$C, 3, FALSE), "")</f>
        <v>Thành phố Hà Nội</v>
      </c>
      <c r="O10" s="48" t="s">
        <v>775</v>
      </c>
      <c r="P10" s="35" t="s">
        <v>1130</v>
      </c>
    </row>
    <row r="11" spans="1:16" x14ac:dyDescent="0.35">
      <c r="A11" s="48" t="s">
        <v>808</v>
      </c>
      <c r="B11" s="48" t="s">
        <v>225</v>
      </c>
      <c r="C11" s="45" t="s">
        <v>390</v>
      </c>
      <c r="D11" s="48" t="s">
        <v>336</v>
      </c>
      <c r="E11" s="48" t="s">
        <v>117</v>
      </c>
      <c r="F11" s="48">
        <v>920346582</v>
      </c>
      <c r="G11" s="96">
        <v>45689</v>
      </c>
      <c r="H11" s="49">
        <v>235000</v>
      </c>
      <c r="I11" s="47">
        <f t="shared" si="0"/>
        <v>0</v>
      </c>
      <c r="J11" s="45">
        <f t="shared" si="1"/>
        <v>0</v>
      </c>
      <c r="K11" s="47">
        <f t="shared" si="2"/>
        <v>0</v>
      </c>
      <c r="L11" s="47">
        <f t="shared" si="3"/>
        <v>235000</v>
      </c>
      <c r="M11" s="85" t="s">
        <v>1051</v>
      </c>
      <c r="N11" s="45" t="str">
        <f>IFERROR(VLOOKUP(B11, Store!$A:$C, 3, FALSE), "")</f>
        <v>Thành phố Đà Nẵng</v>
      </c>
      <c r="O11" s="48" t="s">
        <v>775</v>
      </c>
      <c r="P11" s="35" t="s">
        <v>1130</v>
      </c>
    </row>
    <row r="12" spans="1:16" x14ac:dyDescent="0.35">
      <c r="A12" s="48" t="s">
        <v>809</v>
      </c>
      <c r="B12" s="48" t="s">
        <v>225</v>
      </c>
      <c r="C12" s="45" t="s">
        <v>394</v>
      </c>
      <c r="D12" s="48" t="s">
        <v>347</v>
      </c>
      <c r="E12" s="48" t="s">
        <v>127</v>
      </c>
      <c r="F12" s="48">
        <v>879132460</v>
      </c>
      <c r="G12" s="96">
        <v>45690</v>
      </c>
      <c r="H12" s="49">
        <v>640000</v>
      </c>
      <c r="I12" s="47">
        <f t="shared" si="0"/>
        <v>0</v>
      </c>
      <c r="J12" s="45">
        <f t="shared" si="1"/>
        <v>0</v>
      </c>
      <c r="K12" s="47">
        <f t="shared" si="2"/>
        <v>0</v>
      </c>
      <c r="L12" s="47">
        <f t="shared" si="3"/>
        <v>640000</v>
      </c>
      <c r="M12" s="85" t="s">
        <v>1126</v>
      </c>
      <c r="N12" s="45" t="str">
        <f>IFERROR(VLOOKUP(B12, Store!$A:$C, 3, FALSE), "")</f>
        <v>Thành phố Đà Nẵng</v>
      </c>
      <c r="O12" s="48" t="s">
        <v>775</v>
      </c>
      <c r="P12" s="35" t="s">
        <v>1130</v>
      </c>
    </row>
    <row r="13" spans="1:16" x14ac:dyDescent="0.35">
      <c r="A13" s="48" t="s">
        <v>810</v>
      </c>
      <c r="B13" s="48" t="s">
        <v>225</v>
      </c>
      <c r="C13" s="45" t="s">
        <v>391</v>
      </c>
      <c r="D13" s="48" t="s">
        <v>306</v>
      </c>
      <c r="E13" s="48" t="s">
        <v>42</v>
      </c>
      <c r="F13" s="48">
        <v>875204319</v>
      </c>
      <c r="G13" s="96">
        <v>45690</v>
      </c>
      <c r="H13" s="49">
        <v>380000</v>
      </c>
      <c r="I13" s="47">
        <f t="shared" si="0"/>
        <v>0</v>
      </c>
      <c r="J13" s="45">
        <f t="shared" si="1"/>
        <v>0</v>
      </c>
      <c r="K13" s="47">
        <f t="shared" si="2"/>
        <v>0</v>
      </c>
      <c r="L13" s="47">
        <f t="shared" si="3"/>
        <v>380000</v>
      </c>
      <c r="M13" s="85" t="s">
        <v>1058</v>
      </c>
      <c r="N13" s="45" t="str">
        <f>IFERROR(VLOOKUP(B13, Store!$A:$C, 3, FALSE), "")</f>
        <v>Thành phố Đà Nẵng</v>
      </c>
      <c r="O13" s="48" t="s">
        <v>775</v>
      </c>
      <c r="P13" s="35" t="s">
        <v>1130</v>
      </c>
    </row>
    <row r="14" spans="1:16" x14ac:dyDescent="0.35">
      <c r="A14" s="48" t="s">
        <v>811</v>
      </c>
      <c r="B14" s="48" t="s">
        <v>220</v>
      </c>
      <c r="C14" s="45" t="s">
        <v>396</v>
      </c>
      <c r="D14" s="48" t="s">
        <v>320</v>
      </c>
      <c r="E14" s="48" t="s">
        <v>53</v>
      </c>
      <c r="F14" s="48">
        <v>920475832</v>
      </c>
      <c r="G14" s="96">
        <v>45690</v>
      </c>
      <c r="H14" s="49">
        <v>500000</v>
      </c>
      <c r="I14" s="47">
        <f t="shared" si="0"/>
        <v>0</v>
      </c>
      <c r="J14" s="45">
        <f t="shared" si="1"/>
        <v>0</v>
      </c>
      <c r="K14" s="47">
        <f t="shared" si="2"/>
        <v>0</v>
      </c>
      <c r="L14" s="47">
        <f t="shared" si="3"/>
        <v>500000</v>
      </c>
      <c r="M14" s="85" t="s">
        <v>164</v>
      </c>
      <c r="N14" s="45" t="str">
        <f>IFERROR(VLOOKUP(B14, Store!$A:$C, 3, FALSE), "")</f>
        <v>Thành phố Hồ Chí Minh</v>
      </c>
      <c r="O14" s="48" t="s">
        <v>775</v>
      </c>
      <c r="P14" s="35" t="s">
        <v>1130</v>
      </c>
    </row>
    <row r="15" spans="1:16" x14ac:dyDescent="0.35">
      <c r="A15" s="48" t="s">
        <v>812</v>
      </c>
      <c r="B15" s="48" t="s">
        <v>220</v>
      </c>
      <c r="C15" s="45" t="s">
        <v>395</v>
      </c>
      <c r="D15" s="48" t="s">
        <v>331</v>
      </c>
      <c r="E15" s="48" t="s">
        <v>112</v>
      </c>
      <c r="F15" s="48">
        <v>968312045</v>
      </c>
      <c r="G15" s="96">
        <v>45690</v>
      </c>
      <c r="H15" s="49">
        <v>920000</v>
      </c>
      <c r="I15" s="47">
        <f t="shared" si="0"/>
        <v>0</v>
      </c>
      <c r="J15" s="45">
        <f t="shared" si="1"/>
        <v>0</v>
      </c>
      <c r="K15" s="47">
        <f t="shared" si="2"/>
        <v>0</v>
      </c>
      <c r="L15" s="47">
        <f t="shared" si="3"/>
        <v>920000</v>
      </c>
      <c r="M15" s="85" t="s">
        <v>182</v>
      </c>
      <c r="N15" s="45" t="str">
        <f>IFERROR(VLOOKUP(B15, Store!$A:$C, 3, FALSE), "")</f>
        <v>Thành phố Hồ Chí Minh</v>
      </c>
      <c r="O15" s="48" t="s">
        <v>775</v>
      </c>
      <c r="P15" s="35" t="s">
        <v>1130</v>
      </c>
    </row>
    <row r="16" spans="1:16" x14ac:dyDescent="0.35">
      <c r="A16" s="48" t="s">
        <v>813</v>
      </c>
      <c r="B16" s="48" t="s">
        <v>223</v>
      </c>
      <c r="C16" s="45" t="s">
        <v>387</v>
      </c>
      <c r="D16" s="48" t="s">
        <v>342</v>
      </c>
      <c r="E16" s="48" t="s">
        <v>122</v>
      </c>
      <c r="F16" s="48">
        <v>918273645</v>
      </c>
      <c r="G16" s="96">
        <v>45690</v>
      </c>
      <c r="H16" s="49">
        <v>1000000</v>
      </c>
      <c r="I16" s="47">
        <f t="shared" si="0"/>
        <v>0</v>
      </c>
      <c r="J16" s="45">
        <f t="shared" si="1"/>
        <v>0</v>
      </c>
      <c r="K16" s="47">
        <f t="shared" si="2"/>
        <v>0</v>
      </c>
      <c r="L16" s="47">
        <f t="shared" si="3"/>
        <v>1000000</v>
      </c>
      <c r="M16" s="86" t="s">
        <v>1046</v>
      </c>
      <c r="N16" s="45" t="str">
        <f>IFERROR(VLOOKUP(B16, Store!$A:$C, 3, FALSE), "")</f>
        <v>Thành phố Cần Thơ</v>
      </c>
      <c r="O16" s="48" t="s">
        <v>775</v>
      </c>
      <c r="P16" s="35" t="s">
        <v>1130</v>
      </c>
    </row>
    <row r="17" spans="1:16" x14ac:dyDescent="0.35">
      <c r="A17" s="48" t="s">
        <v>814</v>
      </c>
      <c r="B17" s="48" t="s">
        <v>220</v>
      </c>
      <c r="C17" s="45" t="s">
        <v>398</v>
      </c>
      <c r="D17" s="48" t="s">
        <v>353</v>
      </c>
      <c r="E17" s="48" t="s">
        <v>155</v>
      </c>
      <c r="F17" s="48">
        <v>261735712</v>
      </c>
      <c r="G17" s="96">
        <v>45690</v>
      </c>
      <c r="H17" s="49">
        <v>960000</v>
      </c>
      <c r="I17" s="47">
        <f t="shared" si="0"/>
        <v>0</v>
      </c>
      <c r="J17" s="45">
        <f t="shared" si="1"/>
        <v>0</v>
      </c>
      <c r="K17" s="47">
        <f t="shared" si="2"/>
        <v>0</v>
      </c>
      <c r="L17" s="47">
        <f t="shared" si="3"/>
        <v>960000</v>
      </c>
      <c r="M17" s="85" t="s">
        <v>1040</v>
      </c>
      <c r="N17" s="45" t="str">
        <f>IFERROR(VLOOKUP(B17, Store!$A:$C, 3, FALSE), "")</f>
        <v>Thành phố Hồ Chí Minh</v>
      </c>
      <c r="O17" s="48" t="s">
        <v>775</v>
      </c>
      <c r="P17" s="35" t="s">
        <v>1130</v>
      </c>
    </row>
    <row r="18" spans="1:16" x14ac:dyDescent="0.35">
      <c r="A18" s="48" t="s">
        <v>815</v>
      </c>
      <c r="B18" s="48" t="s">
        <v>227</v>
      </c>
      <c r="C18" s="45" t="s">
        <v>386</v>
      </c>
      <c r="D18" s="48" t="s">
        <v>340</v>
      </c>
      <c r="E18" s="48" t="s">
        <v>120</v>
      </c>
      <c r="F18" s="48">
        <v>973569840</v>
      </c>
      <c r="G18" s="96">
        <v>45690</v>
      </c>
      <c r="H18" s="49">
        <v>230000</v>
      </c>
      <c r="I18" s="47">
        <f t="shared" si="0"/>
        <v>0</v>
      </c>
      <c r="J18" s="45">
        <f t="shared" si="1"/>
        <v>0</v>
      </c>
      <c r="K18" s="47">
        <f t="shared" si="2"/>
        <v>0</v>
      </c>
      <c r="L18" s="47">
        <f t="shared" si="3"/>
        <v>230000</v>
      </c>
      <c r="M18" s="85" t="s">
        <v>189</v>
      </c>
      <c r="N18" s="45" t="s">
        <v>200</v>
      </c>
      <c r="O18" s="48" t="s">
        <v>775</v>
      </c>
      <c r="P18" s="35" t="s">
        <v>1130</v>
      </c>
    </row>
    <row r="19" spans="1:16" x14ac:dyDescent="0.35">
      <c r="A19" s="48" t="s">
        <v>816</v>
      </c>
      <c r="B19" s="48" t="s">
        <v>227</v>
      </c>
      <c r="C19" s="45" t="s">
        <v>385</v>
      </c>
      <c r="D19" s="48" t="s">
        <v>315</v>
      </c>
      <c r="E19" s="48" t="s">
        <v>48</v>
      </c>
      <c r="F19" s="48">
        <v>937581206</v>
      </c>
      <c r="G19" s="96">
        <v>45691</v>
      </c>
      <c r="H19" s="49">
        <v>960000</v>
      </c>
      <c r="I19" s="47">
        <f t="shared" si="0"/>
        <v>0</v>
      </c>
      <c r="J19" s="45">
        <f t="shared" si="1"/>
        <v>0</v>
      </c>
      <c r="K19" s="47">
        <f t="shared" si="2"/>
        <v>0</v>
      </c>
      <c r="L19" s="47">
        <f t="shared" si="3"/>
        <v>960000</v>
      </c>
      <c r="M19" s="85" t="s">
        <v>1095</v>
      </c>
      <c r="N19" s="45" t="s">
        <v>200</v>
      </c>
      <c r="O19" s="48" t="s">
        <v>775</v>
      </c>
      <c r="P19" s="35" t="s">
        <v>1131</v>
      </c>
    </row>
    <row r="20" spans="1:16" x14ac:dyDescent="0.35">
      <c r="A20" s="48" t="s">
        <v>817</v>
      </c>
      <c r="B20" s="48" t="s">
        <v>223</v>
      </c>
      <c r="C20" s="45" t="s">
        <v>396</v>
      </c>
      <c r="D20" s="48" t="s">
        <v>326</v>
      </c>
      <c r="E20" s="48" t="s">
        <v>36</v>
      </c>
      <c r="F20" s="48">
        <v>936872041</v>
      </c>
      <c r="G20" s="96">
        <v>45691</v>
      </c>
      <c r="H20" s="49">
        <v>970000</v>
      </c>
      <c r="I20" s="47">
        <f t="shared" si="0"/>
        <v>0</v>
      </c>
      <c r="J20" s="45">
        <f t="shared" si="1"/>
        <v>0</v>
      </c>
      <c r="K20" s="47">
        <f t="shared" si="2"/>
        <v>0</v>
      </c>
      <c r="L20" s="47">
        <f t="shared" si="3"/>
        <v>970000</v>
      </c>
      <c r="M20" s="85" t="s">
        <v>1072</v>
      </c>
      <c r="N20" s="45" t="s">
        <v>214</v>
      </c>
      <c r="O20" s="48" t="s">
        <v>775</v>
      </c>
      <c r="P20" s="35" t="s">
        <v>1131</v>
      </c>
    </row>
    <row r="21" spans="1:16" x14ac:dyDescent="0.35">
      <c r="A21" s="48" t="s">
        <v>818</v>
      </c>
      <c r="B21" s="48" t="s">
        <v>225</v>
      </c>
      <c r="C21" s="45" t="s">
        <v>391</v>
      </c>
      <c r="D21" s="48" t="s">
        <v>337</v>
      </c>
      <c r="E21" s="48" t="s">
        <v>118</v>
      </c>
      <c r="F21" s="48">
        <v>987653412</v>
      </c>
      <c r="G21" s="96">
        <v>45691</v>
      </c>
      <c r="H21" s="49">
        <v>735000</v>
      </c>
      <c r="I21" s="47">
        <f t="shared" si="0"/>
        <v>0</v>
      </c>
      <c r="J21" s="45">
        <f t="shared" si="1"/>
        <v>0</v>
      </c>
      <c r="K21" s="47">
        <f t="shared" si="2"/>
        <v>0</v>
      </c>
      <c r="L21" s="47">
        <f t="shared" si="3"/>
        <v>735000</v>
      </c>
      <c r="M21" s="85" t="s">
        <v>1053</v>
      </c>
      <c r="N21" s="45" t="str">
        <f>IFERROR(VLOOKUP(B21, Store!$A:$C, 3, FALSE), "")</f>
        <v>Thành phố Đà Nẵng</v>
      </c>
      <c r="O21" s="48" t="s">
        <v>775</v>
      </c>
      <c r="P21" s="35" t="s">
        <v>1131</v>
      </c>
    </row>
    <row r="22" spans="1:16" x14ac:dyDescent="0.35">
      <c r="A22" s="48" t="s">
        <v>819</v>
      </c>
      <c r="B22" s="48" t="s">
        <v>225</v>
      </c>
      <c r="C22" s="45" t="s">
        <v>391</v>
      </c>
      <c r="D22" s="48" t="s">
        <v>348</v>
      </c>
      <c r="E22" s="48" t="s">
        <v>128</v>
      </c>
      <c r="F22" s="48">
        <v>839201476</v>
      </c>
      <c r="G22" s="96">
        <v>45691</v>
      </c>
      <c r="H22" s="49">
        <v>970000</v>
      </c>
      <c r="I22" s="47">
        <f t="shared" si="0"/>
        <v>0</v>
      </c>
      <c r="J22" s="45">
        <f t="shared" si="1"/>
        <v>0</v>
      </c>
      <c r="K22" s="47">
        <f t="shared" si="2"/>
        <v>0</v>
      </c>
      <c r="L22" s="47">
        <f t="shared" si="3"/>
        <v>970000</v>
      </c>
      <c r="M22" s="85" t="s">
        <v>1058</v>
      </c>
      <c r="N22" s="45" t="str">
        <f>IFERROR(VLOOKUP(B22, Store!$A:$C, 3, FALSE), "")</f>
        <v>Thành phố Đà Nẵng</v>
      </c>
      <c r="O22" s="48" t="s">
        <v>775</v>
      </c>
      <c r="P22" s="35" t="s">
        <v>1131</v>
      </c>
    </row>
    <row r="23" spans="1:16" ht="18" customHeight="1" x14ac:dyDescent="0.35">
      <c r="A23" s="48" t="s">
        <v>821</v>
      </c>
      <c r="B23" s="48" t="s">
        <v>225</v>
      </c>
      <c r="C23" s="45" t="s">
        <v>393</v>
      </c>
      <c r="D23" s="48" t="s">
        <v>303</v>
      </c>
      <c r="E23" s="50" t="s">
        <v>27</v>
      </c>
      <c r="F23" s="50">
        <v>908231567</v>
      </c>
      <c r="G23" s="96">
        <v>45691</v>
      </c>
      <c r="H23" s="49">
        <v>735000</v>
      </c>
      <c r="I23" s="47">
        <f t="shared" si="0"/>
        <v>0</v>
      </c>
      <c r="J23" s="45">
        <f t="shared" si="1"/>
        <v>0</v>
      </c>
      <c r="K23" s="47">
        <f t="shared" si="2"/>
        <v>0</v>
      </c>
      <c r="L23" s="47">
        <f t="shared" si="3"/>
        <v>735000</v>
      </c>
      <c r="M23" s="85" t="s">
        <v>1058</v>
      </c>
      <c r="N23" s="45" t="str">
        <f>IFERROR(VLOOKUP(B23, Store!$A:$C, 3, FALSE), "")</f>
        <v>Thành phố Đà Nẵng</v>
      </c>
      <c r="O23" s="48" t="s">
        <v>775</v>
      </c>
      <c r="P23" s="35" t="s">
        <v>1131</v>
      </c>
    </row>
    <row r="24" spans="1:16" x14ac:dyDescent="0.35">
      <c r="A24" s="48" t="s">
        <v>822</v>
      </c>
      <c r="B24" s="48" t="s">
        <v>227</v>
      </c>
      <c r="C24" s="45" t="s">
        <v>386</v>
      </c>
      <c r="D24" s="48" t="s">
        <v>351</v>
      </c>
      <c r="E24" s="48" t="s">
        <v>129</v>
      </c>
      <c r="F24" s="48">
        <v>971348025</v>
      </c>
      <c r="G24" s="96">
        <v>45691</v>
      </c>
      <c r="H24" s="49">
        <v>1380000</v>
      </c>
      <c r="I24" s="47">
        <f t="shared" si="0"/>
        <v>0</v>
      </c>
      <c r="J24" s="45">
        <f t="shared" si="1"/>
        <v>0</v>
      </c>
      <c r="K24" s="47">
        <f t="shared" si="2"/>
        <v>0</v>
      </c>
      <c r="L24" s="47">
        <f t="shared" si="3"/>
        <v>1380000</v>
      </c>
      <c r="M24" s="85" t="s">
        <v>1100</v>
      </c>
      <c r="N24" s="45" t="s">
        <v>203</v>
      </c>
      <c r="O24" s="48" t="s">
        <v>775</v>
      </c>
      <c r="P24" s="35" t="s">
        <v>1131</v>
      </c>
    </row>
    <row r="25" spans="1:16" x14ac:dyDescent="0.35">
      <c r="A25" s="48" t="s">
        <v>823</v>
      </c>
      <c r="B25" s="48" t="s">
        <v>220</v>
      </c>
      <c r="C25" s="45" t="s">
        <v>379</v>
      </c>
      <c r="D25" s="48" t="s">
        <v>306</v>
      </c>
      <c r="E25" s="48" t="s">
        <v>42</v>
      </c>
      <c r="F25" s="48">
        <v>875204319</v>
      </c>
      <c r="G25" s="96">
        <v>45691</v>
      </c>
      <c r="H25" s="49">
        <v>920000</v>
      </c>
      <c r="I25" s="47">
        <f t="shared" si="0"/>
        <v>0</v>
      </c>
      <c r="J25" s="45">
        <f t="shared" si="1"/>
        <v>0</v>
      </c>
      <c r="K25" s="47">
        <f t="shared" si="2"/>
        <v>0</v>
      </c>
      <c r="L25" s="47">
        <f t="shared" si="3"/>
        <v>920000</v>
      </c>
      <c r="M25" s="86" t="s">
        <v>1048</v>
      </c>
      <c r="N25" s="45" t="str">
        <f>IFERROR(VLOOKUP(B25, Store!$A:$C, 3, FALSE), "")</f>
        <v>Thành phố Hồ Chí Minh</v>
      </c>
      <c r="O25" s="48" t="s">
        <v>775</v>
      </c>
      <c r="P25" s="35" t="s">
        <v>1131</v>
      </c>
    </row>
    <row r="26" spans="1:16" x14ac:dyDescent="0.35">
      <c r="A26" s="48" t="s">
        <v>824</v>
      </c>
      <c r="B26" s="48" t="s">
        <v>220</v>
      </c>
      <c r="C26" s="45" t="s">
        <v>378</v>
      </c>
      <c r="D26" s="48" t="s">
        <v>317</v>
      </c>
      <c r="E26" s="48" t="s">
        <v>50</v>
      </c>
      <c r="F26" s="48">
        <v>912435678</v>
      </c>
      <c r="G26" s="96">
        <v>45691</v>
      </c>
      <c r="H26" s="49">
        <v>1175000</v>
      </c>
      <c r="I26" s="47">
        <f t="shared" si="0"/>
        <v>0</v>
      </c>
      <c r="J26" s="45">
        <f t="shared" si="1"/>
        <v>0</v>
      </c>
      <c r="K26" s="47">
        <f t="shared" si="2"/>
        <v>0</v>
      </c>
      <c r="L26" s="47">
        <f t="shared" si="3"/>
        <v>1175000</v>
      </c>
      <c r="M26" s="86" t="s">
        <v>1048</v>
      </c>
      <c r="N26" s="45" t="str">
        <f>IFERROR(VLOOKUP(B26, Store!$A:$C, 3, FALSE), "")</f>
        <v>Thành phố Hồ Chí Minh</v>
      </c>
      <c r="O26" s="48" t="s">
        <v>775</v>
      </c>
      <c r="P26" s="35" t="s">
        <v>1131</v>
      </c>
    </row>
    <row r="27" spans="1:16" x14ac:dyDescent="0.35">
      <c r="A27" s="48" t="s">
        <v>825</v>
      </c>
      <c r="B27" s="48" t="s">
        <v>222</v>
      </c>
      <c r="C27" s="45" t="s">
        <v>383</v>
      </c>
      <c r="D27" s="48" t="s">
        <v>328</v>
      </c>
      <c r="E27" s="48" t="s">
        <v>38</v>
      </c>
      <c r="F27" s="48">
        <v>704957126</v>
      </c>
      <c r="G27" s="96">
        <v>45691</v>
      </c>
      <c r="H27" s="49">
        <v>955000</v>
      </c>
      <c r="I27" s="47">
        <f t="shared" si="0"/>
        <v>0</v>
      </c>
      <c r="J27" s="45">
        <f t="shared" si="1"/>
        <v>0</v>
      </c>
      <c r="K27" s="47">
        <f t="shared" si="2"/>
        <v>0</v>
      </c>
      <c r="L27" s="47">
        <f t="shared" si="3"/>
        <v>955000</v>
      </c>
      <c r="M27" s="85" t="s">
        <v>1063</v>
      </c>
      <c r="N27" s="45" t="str">
        <f>IFERROR(VLOOKUP(B27, Store!$A:$C, 3, FALSE), "")</f>
        <v>Thành phố Hà Nội</v>
      </c>
      <c r="O27" s="48" t="s">
        <v>775</v>
      </c>
      <c r="P27" s="35" t="s">
        <v>1131</v>
      </c>
    </row>
    <row r="28" spans="1:16" x14ac:dyDescent="0.35">
      <c r="A28" s="48" t="s">
        <v>826</v>
      </c>
      <c r="B28" s="48" t="s">
        <v>220</v>
      </c>
      <c r="C28" s="45" t="s">
        <v>381</v>
      </c>
      <c r="D28" s="48" t="s">
        <v>339</v>
      </c>
      <c r="E28" s="48" t="s">
        <v>119</v>
      </c>
      <c r="F28" s="48">
        <v>901245786</v>
      </c>
      <c r="G28" s="96">
        <v>45720</v>
      </c>
      <c r="H28" s="49">
        <v>1250000</v>
      </c>
      <c r="I28" s="47">
        <f t="shared" si="0"/>
        <v>0</v>
      </c>
      <c r="J28" s="45">
        <f t="shared" si="1"/>
        <v>0</v>
      </c>
      <c r="K28" s="47">
        <f t="shared" si="2"/>
        <v>0</v>
      </c>
      <c r="L28" s="47">
        <f t="shared" si="3"/>
        <v>1250000</v>
      </c>
      <c r="M28" s="85" t="s">
        <v>1073</v>
      </c>
      <c r="N28" s="45" t="str">
        <f>IFERROR(VLOOKUP(B28, Store!$A:$C, 3, FALSE), "")</f>
        <v>Thành phố Hồ Chí Minh</v>
      </c>
      <c r="O28" s="48" t="s">
        <v>775</v>
      </c>
      <c r="P28" s="35" t="s">
        <v>1131</v>
      </c>
    </row>
    <row r="29" spans="1:16" x14ac:dyDescent="0.35">
      <c r="A29" s="48" t="s">
        <v>827</v>
      </c>
      <c r="B29" s="48" t="s">
        <v>227</v>
      </c>
      <c r="C29" s="45" t="s">
        <v>382</v>
      </c>
      <c r="D29" s="48" t="s">
        <v>350</v>
      </c>
      <c r="E29" s="48" t="s">
        <v>130</v>
      </c>
      <c r="F29" s="48">
        <v>916472309</v>
      </c>
      <c r="G29" s="96">
        <v>45720</v>
      </c>
      <c r="H29" s="49">
        <v>1750000</v>
      </c>
      <c r="I29" s="47">
        <f t="shared" si="0"/>
        <v>0</v>
      </c>
      <c r="J29" s="45">
        <f t="shared" si="1"/>
        <v>0</v>
      </c>
      <c r="K29" s="47">
        <f t="shared" si="2"/>
        <v>0</v>
      </c>
      <c r="L29" s="47">
        <f t="shared" si="3"/>
        <v>1750000</v>
      </c>
      <c r="M29" s="85" t="s">
        <v>1099</v>
      </c>
      <c r="N29" s="45" t="s">
        <v>1127</v>
      </c>
      <c r="O29" s="48" t="s">
        <v>775</v>
      </c>
      <c r="P29" s="35" t="s">
        <v>1131</v>
      </c>
    </row>
    <row r="30" spans="1:16" x14ac:dyDescent="0.35">
      <c r="A30" s="48" t="s">
        <v>828</v>
      </c>
      <c r="B30" s="48" t="s">
        <v>222</v>
      </c>
      <c r="C30" s="45" t="s">
        <v>384</v>
      </c>
      <c r="D30" s="48" t="s">
        <v>354</v>
      </c>
      <c r="E30" s="48" t="s">
        <v>154</v>
      </c>
      <c r="F30" s="48">
        <v>869341028</v>
      </c>
      <c r="G30" s="96">
        <v>45720</v>
      </c>
      <c r="H30" s="49">
        <v>800000</v>
      </c>
      <c r="I30" s="47">
        <f t="shared" si="0"/>
        <v>0</v>
      </c>
      <c r="J30" s="45">
        <f t="shared" si="1"/>
        <v>0</v>
      </c>
      <c r="K30" s="47">
        <f t="shared" si="2"/>
        <v>0</v>
      </c>
      <c r="L30" s="47">
        <f t="shared" si="3"/>
        <v>800000</v>
      </c>
      <c r="M30" s="85" t="s">
        <v>170</v>
      </c>
      <c r="N30" s="45" t="str">
        <f>IFERROR(VLOOKUP(B30, Store!$A:$C, 3, FALSE), "")</f>
        <v>Thành phố Hà Nội</v>
      </c>
      <c r="O30" s="48" t="s">
        <v>775</v>
      </c>
      <c r="P30" s="35" t="s">
        <v>1131</v>
      </c>
    </row>
    <row r="31" spans="1:16" x14ac:dyDescent="0.35">
      <c r="A31" s="48" t="s">
        <v>829</v>
      </c>
      <c r="B31" s="48" t="s">
        <v>222</v>
      </c>
      <c r="C31" s="45" t="s">
        <v>384</v>
      </c>
      <c r="D31" s="48" t="s">
        <v>307</v>
      </c>
      <c r="E31" s="48" t="s">
        <v>33</v>
      </c>
      <c r="F31" s="48">
        <v>971048362</v>
      </c>
      <c r="G31" s="96">
        <v>45720</v>
      </c>
      <c r="H31" s="49">
        <v>1000000</v>
      </c>
      <c r="I31" s="47">
        <f t="shared" si="0"/>
        <v>0</v>
      </c>
      <c r="J31" s="45">
        <f t="shared" si="1"/>
        <v>0</v>
      </c>
      <c r="K31" s="47">
        <f t="shared" si="2"/>
        <v>0</v>
      </c>
      <c r="L31" s="47">
        <f t="shared" si="3"/>
        <v>1000000</v>
      </c>
      <c r="M31" s="85" t="s">
        <v>173</v>
      </c>
      <c r="N31" s="45" t="str">
        <f>IFERROR(VLOOKUP(B31, Store!$A:$C, 3, FALSE), "")</f>
        <v>Thành phố Hà Nội</v>
      </c>
      <c r="O31" s="48" t="s">
        <v>775</v>
      </c>
      <c r="P31" s="35" t="s">
        <v>1131</v>
      </c>
    </row>
    <row r="32" spans="1:16" x14ac:dyDescent="0.35">
      <c r="A32" s="48" t="s">
        <v>830</v>
      </c>
      <c r="B32" s="48" t="s">
        <v>222</v>
      </c>
      <c r="C32" s="45" t="s">
        <v>386</v>
      </c>
      <c r="D32" s="48" t="s">
        <v>318</v>
      </c>
      <c r="E32" s="48" t="s">
        <v>51</v>
      </c>
      <c r="F32" s="48">
        <v>987264309</v>
      </c>
      <c r="G32" s="96">
        <v>45720</v>
      </c>
      <c r="H32" s="49">
        <v>600000</v>
      </c>
      <c r="I32" s="47">
        <f t="shared" si="0"/>
        <v>0</v>
      </c>
      <c r="J32" s="45">
        <f t="shared" si="1"/>
        <v>0</v>
      </c>
      <c r="K32" s="47">
        <f t="shared" si="2"/>
        <v>0</v>
      </c>
      <c r="L32" s="47">
        <f t="shared" si="3"/>
        <v>600000</v>
      </c>
      <c r="M32" s="85" t="s">
        <v>1064</v>
      </c>
      <c r="N32" s="45" t="str">
        <f>IFERROR(VLOOKUP(B32, Store!$A:$C, 3, FALSE), "")</f>
        <v>Thành phố Hà Nội</v>
      </c>
      <c r="O32" s="48" t="s">
        <v>775</v>
      </c>
      <c r="P32" s="35" t="s">
        <v>1131</v>
      </c>
    </row>
    <row r="33" spans="1:16" x14ac:dyDescent="0.35">
      <c r="A33" s="48" t="s">
        <v>831</v>
      </c>
      <c r="B33" s="48" t="s">
        <v>222</v>
      </c>
      <c r="C33" s="45" t="s">
        <v>384</v>
      </c>
      <c r="D33" s="48" t="s">
        <v>329</v>
      </c>
      <c r="E33" s="48" t="s">
        <v>39</v>
      </c>
      <c r="F33" s="48">
        <v>704957127</v>
      </c>
      <c r="G33" s="96">
        <v>45720</v>
      </c>
      <c r="H33" s="49">
        <v>600000</v>
      </c>
      <c r="I33" s="47">
        <f t="shared" si="0"/>
        <v>0</v>
      </c>
      <c r="J33" s="45">
        <f t="shared" si="1"/>
        <v>0</v>
      </c>
      <c r="K33" s="47">
        <f t="shared" si="2"/>
        <v>0</v>
      </c>
      <c r="L33" s="47">
        <f t="shared" si="3"/>
        <v>600000</v>
      </c>
      <c r="M33" s="85" t="s">
        <v>1063</v>
      </c>
      <c r="N33" s="45" t="str">
        <f>IFERROR(VLOOKUP(B33, Store!$A:$C, 3, FALSE), "")</f>
        <v>Thành phố Hà Nội</v>
      </c>
      <c r="O33" s="48" t="s">
        <v>775</v>
      </c>
      <c r="P33" s="35" t="s">
        <v>1131</v>
      </c>
    </row>
    <row r="34" spans="1:16" x14ac:dyDescent="0.35">
      <c r="A34" s="48" t="s">
        <v>832</v>
      </c>
      <c r="B34" s="48" t="s">
        <v>222</v>
      </c>
      <c r="C34" s="45" t="s">
        <v>385</v>
      </c>
      <c r="D34" s="48" t="s">
        <v>340</v>
      </c>
      <c r="E34" s="48" t="s">
        <v>120</v>
      </c>
      <c r="F34" s="48">
        <v>973569840</v>
      </c>
      <c r="G34" s="96">
        <v>45720</v>
      </c>
      <c r="H34" s="49">
        <v>900000</v>
      </c>
      <c r="I34" s="47">
        <f t="shared" ref="I34:I65" si="4">IF(AND(G34=DATE(2025,7,7), H34&gt;=1000000), "DIS_003A",
   IF(AND(G34=DATE(2025,7,15), H34&gt;=1000000), "DIS_003B", 0))</f>
        <v>0</v>
      </c>
      <c r="J34" s="45">
        <f t="shared" ref="J34:J65" si="5">IF(AND(OR(G34=DATE(2025,7,7), G34=DATE(2025,7,15)), H34 &gt;= 1000000), 20, 0)</f>
        <v>0</v>
      </c>
      <c r="K34" s="47">
        <f t="shared" si="2"/>
        <v>0</v>
      </c>
      <c r="L34" s="47">
        <f t="shared" si="3"/>
        <v>900000</v>
      </c>
      <c r="M34" s="85" t="s">
        <v>1063</v>
      </c>
      <c r="N34" s="45" t="str">
        <f>IFERROR(VLOOKUP(B34, Store!$A:$C, 3, FALSE), "")</f>
        <v>Thành phố Hà Nội</v>
      </c>
      <c r="O34" s="48" t="s">
        <v>775</v>
      </c>
      <c r="P34" s="35" t="s">
        <v>1131</v>
      </c>
    </row>
    <row r="35" spans="1:16" x14ac:dyDescent="0.35">
      <c r="A35" s="48" t="s">
        <v>833</v>
      </c>
      <c r="B35" s="48" t="s">
        <v>227</v>
      </c>
      <c r="C35" s="45" t="s">
        <v>386</v>
      </c>
      <c r="D35" s="48" t="s">
        <v>351</v>
      </c>
      <c r="E35" s="48" t="s">
        <v>129</v>
      </c>
      <c r="F35" s="48">
        <v>971348025</v>
      </c>
      <c r="G35" s="96">
        <v>45720</v>
      </c>
      <c r="H35" s="49">
        <v>720000</v>
      </c>
      <c r="I35" s="47">
        <f t="shared" si="4"/>
        <v>0</v>
      </c>
      <c r="J35" s="45">
        <f t="shared" si="5"/>
        <v>0</v>
      </c>
      <c r="K35" s="47">
        <f t="shared" si="2"/>
        <v>0</v>
      </c>
      <c r="L35" s="47">
        <f t="shared" si="3"/>
        <v>720000</v>
      </c>
      <c r="M35" s="85" t="s">
        <v>1100</v>
      </c>
      <c r="N35" s="45" t="s">
        <v>203</v>
      </c>
      <c r="O35" s="48" t="s">
        <v>775</v>
      </c>
      <c r="P35" s="35" t="s">
        <v>1131</v>
      </c>
    </row>
    <row r="36" spans="1:16" x14ac:dyDescent="0.35">
      <c r="A36" s="48" t="s">
        <v>834</v>
      </c>
      <c r="B36" s="48" t="s">
        <v>227</v>
      </c>
      <c r="C36" s="45" t="s">
        <v>986</v>
      </c>
      <c r="D36" s="48" t="s">
        <v>316</v>
      </c>
      <c r="E36" s="48" t="s">
        <v>49</v>
      </c>
      <c r="F36" s="48">
        <v>968312045</v>
      </c>
      <c r="G36" s="96">
        <v>45752</v>
      </c>
      <c r="H36" s="49">
        <v>900000</v>
      </c>
      <c r="I36" s="47">
        <f t="shared" si="4"/>
        <v>0</v>
      </c>
      <c r="J36" s="45">
        <f t="shared" si="5"/>
        <v>0</v>
      </c>
      <c r="K36" s="47">
        <f t="shared" si="2"/>
        <v>0</v>
      </c>
      <c r="L36" s="47">
        <f t="shared" si="3"/>
        <v>900000</v>
      </c>
      <c r="M36" s="85" t="s">
        <v>1067</v>
      </c>
      <c r="N36" s="45" t="str">
        <f>IFERROR(VLOOKUP(B36, Store!$A:$C, 3, FALSE), "")</f>
        <v>Thành phố Hải Phòng</v>
      </c>
      <c r="O36" s="48" t="s">
        <v>775</v>
      </c>
      <c r="P36" s="35" t="s">
        <v>1131</v>
      </c>
    </row>
    <row r="37" spans="1:16" x14ac:dyDescent="0.35">
      <c r="A37" s="48" t="s">
        <v>835</v>
      </c>
      <c r="B37" s="48" t="s">
        <v>223</v>
      </c>
      <c r="C37" s="45" t="s">
        <v>387</v>
      </c>
      <c r="D37" s="48" t="s">
        <v>308</v>
      </c>
      <c r="E37" s="48" t="s">
        <v>34</v>
      </c>
      <c r="F37" s="48">
        <v>928457130</v>
      </c>
      <c r="G37" s="96">
        <v>45752</v>
      </c>
      <c r="H37" s="49">
        <v>540000</v>
      </c>
      <c r="I37" s="47">
        <f t="shared" si="4"/>
        <v>0</v>
      </c>
      <c r="J37" s="45">
        <f t="shared" si="5"/>
        <v>0</v>
      </c>
      <c r="K37" s="47">
        <f t="shared" si="2"/>
        <v>0</v>
      </c>
      <c r="L37" s="47">
        <f t="shared" si="3"/>
        <v>540000</v>
      </c>
      <c r="M37" s="85" t="s">
        <v>1061</v>
      </c>
      <c r="N37" s="45" t="str">
        <f>IFERROR(VLOOKUP(B37, Store!$A:$C, 3, FALSE), "")</f>
        <v>Thành phố Cần Thơ</v>
      </c>
      <c r="O37" s="48" t="s">
        <v>775</v>
      </c>
      <c r="P37" s="35" t="s">
        <v>1131</v>
      </c>
    </row>
    <row r="38" spans="1:16" x14ac:dyDescent="0.35">
      <c r="A38" s="48" t="s">
        <v>836</v>
      </c>
      <c r="B38" s="48" t="s">
        <v>227</v>
      </c>
      <c r="C38" s="45" t="s">
        <v>984</v>
      </c>
      <c r="D38" s="48" t="s">
        <v>319</v>
      </c>
      <c r="E38" s="48" t="s">
        <v>52</v>
      </c>
      <c r="F38" s="48">
        <v>817623495</v>
      </c>
      <c r="G38" s="96">
        <v>45752</v>
      </c>
      <c r="H38" s="49">
        <v>900000</v>
      </c>
      <c r="I38" s="47">
        <f t="shared" si="4"/>
        <v>0</v>
      </c>
      <c r="J38" s="45">
        <f t="shared" si="5"/>
        <v>0</v>
      </c>
      <c r="K38" s="47">
        <f t="shared" si="2"/>
        <v>0</v>
      </c>
      <c r="L38" s="47">
        <f t="shared" si="3"/>
        <v>900000</v>
      </c>
      <c r="M38" s="85" t="s">
        <v>1067</v>
      </c>
      <c r="N38" s="45" t="str">
        <f>IFERROR(VLOOKUP(B38, Store!$A:$C, 3, FALSE), "")</f>
        <v>Thành phố Hải Phòng</v>
      </c>
      <c r="O38" s="48" t="s">
        <v>775</v>
      </c>
      <c r="P38" s="35" t="s">
        <v>1131</v>
      </c>
    </row>
    <row r="39" spans="1:16" x14ac:dyDescent="0.35">
      <c r="A39" s="48" t="s">
        <v>837</v>
      </c>
      <c r="B39" s="48" t="s">
        <v>226</v>
      </c>
      <c r="C39" s="45" t="s">
        <v>380</v>
      </c>
      <c r="D39" s="48" t="s">
        <v>330</v>
      </c>
      <c r="E39" s="48" t="s">
        <v>40</v>
      </c>
      <c r="F39" s="48">
        <v>704957129</v>
      </c>
      <c r="G39" s="96">
        <v>45752</v>
      </c>
      <c r="H39" s="49">
        <v>780000</v>
      </c>
      <c r="I39" s="47">
        <f t="shared" si="4"/>
        <v>0</v>
      </c>
      <c r="J39" s="45">
        <f t="shared" si="5"/>
        <v>0</v>
      </c>
      <c r="K39" s="47">
        <f t="shared" si="2"/>
        <v>0</v>
      </c>
      <c r="L39" s="47">
        <f t="shared" si="3"/>
        <v>780000</v>
      </c>
      <c r="M39" s="86" t="s">
        <v>1049</v>
      </c>
      <c r="N39" s="45" t="str">
        <f>IFERROR(VLOOKUP(B39, Store!$A:$C, 3, FALSE), "")</f>
        <v>Thành phố Hồ Chí Minh</v>
      </c>
      <c r="O39" s="48" t="s">
        <v>775</v>
      </c>
      <c r="P39" s="35" t="s">
        <v>1131</v>
      </c>
    </row>
    <row r="40" spans="1:16" x14ac:dyDescent="0.35">
      <c r="A40" s="48" t="s">
        <v>838</v>
      </c>
      <c r="B40" s="48" t="s">
        <v>226</v>
      </c>
      <c r="C40" s="45" t="s">
        <v>381</v>
      </c>
      <c r="D40" s="48" t="s">
        <v>341</v>
      </c>
      <c r="E40" s="48" t="s">
        <v>121</v>
      </c>
      <c r="F40" s="48">
        <v>869341028</v>
      </c>
      <c r="G40" s="96">
        <v>45752</v>
      </c>
      <c r="H40" s="49">
        <v>780000</v>
      </c>
      <c r="I40" s="47">
        <f t="shared" si="4"/>
        <v>0</v>
      </c>
      <c r="J40" s="45">
        <f t="shared" si="5"/>
        <v>0</v>
      </c>
      <c r="K40" s="47">
        <f t="shared" si="2"/>
        <v>0</v>
      </c>
      <c r="L40" s="47">
        <f t="shared" si="3"/>
        <v>780000</v>
      </c>
      <c r="M40" s="85" t="s">
        <v>166</v>
      </c>
      <c r="N40" s="45" t="str">
        <f>IFERROR(VLOOKUP(B40, Store!$A:$C, 3, FALSE), "")</f>
        <v>Thành phố Hồ Chí Minh</v>
      </c>
      <c r="O40" s="48" t="s">
        <v>775</v>
      </c>
      <c r="P40" s="35" t="s">
        <v>1131</v>
      </c>
    </row>
    <row r="41" spans="1:16" x14ac:dyDescent="0.35">
      <c r="A41" s="48" t="s">
        <v>839</v>
      </c>
      <c r="B41" s="48" t="s">
        <v>223</v>
      </c>
      <c r="C41" s="45" t="s">
        <v>387</v>
      </c>
      <c r="D41" s="48" t="s">
        <v>352</v>
      </c>
      <c r="E41" s="48" t="s">
        <v>131</v>
      </c>
      <c r="F41" s="48">
        <v>823674901</v>
      </c>
      <c r="G41" s="96">
        <v>45752</v>
      </c>
      <c r="H41" s="49">
        <v>640000</v>
      </c>
      <c r="I41" s="47">
        <f t="shared" si="4"/>
        <v>0</v>
      </c>
      <c r="J41" s="45">
        <f t="shared" si="5"/>
        <v>0</v>
      </c>
      <c r="K41" s="47">
        <f t="shared" si="2"/>
        <v>0</v>
      </c>
      <c r="L41" s="47">
        <f t="shared" si="3"/>
        <v>640000</v>
      </c>
      <c r="M41" s="85" t="s">
        <v>1062</v>
      </c>
      <c r="N41" s="45" t="str">
        <f>IFERROR(VLOOKUP(B41, Store!$A:$C, 3, FALSE), "")</f>
        <v>Thành phố Cần Thơ</v>
      </c>
      <c r="O41" s="48" t="s">
        <v>775</v>
      </c>
      <c r="P41" s="35" t="s">
        <v>1131</v>
      </c>
    </row>
    <row r="42" spans="1:16" x14ac:dyDescent="0.35">
      <c r="A42" s="48" t="s">
        <v>840</v>
      </c>
      <c r="B42" s="48" t="s">
        <v>220</v>
      </c>
      <c r="C42" s="45" t="s">
        <v>377</v>
      </c>
      <c r="D42" s="48" t="s">
        <v>327</v>
      </c>
      <c r="E42" s="48" t="s">
        <v>37</v>
      </c>
      <c r="F42" s="48">
        <v>891306452</v>
      </c>
      <c r="G42" s="96">
        <v>45752</v>
      </c>
      <c r="H42" s="49">
        <v>780000</v>
      </c>
      <c r="I42" s="47">
        <f t="shared" si="4"/>
        <v>0</v>
      </c>
      <c r="J42" s="45">
        <f t="shared" si="5"/>
        <v>0</v>
      </c>
      <c r="K42" s="47">
        <f t="shared" si="2"/>
        <v>0</v>
      </c>
      <c r="L42" s="47">
        <f t="shared" si="3"/>
        <v>780000</v>
      </c>
      <c r="M42" s="85" t="s">
        <v>1073</v>
      </c>
      <c r="N42" s="45" t="str">
        <f>IFERROR(VLOOKUP(B42, Store!$A:$C, 3, FALSE), "")</f>
        <v>Thành phố Hồ Chí Minh</v>
      </c>
      <c r="O42" s="48" t="s">
        <v>775</v>
      </c>
      <c r="P42" s="35" t="s">
        <v>1131</v>
      </c>
    </row>
    <row r="43" spans="1:16" ht="14.5" customHeight="1" x14ac:dyDescent="0.35">
      <c r="A43" s="48" t="s">
        <v>841</v>
      </c>
      <c r="B43" s="48" t="s">
        <v>225</v>
      </c>
      <c r="C43" s="45" t="s">
        <v>394</v>
      </c>
      <c r="D43" s="48" t="s">
        <v>332</v>
      </c>
      <c r="E43" s="50" t="s">
        <v>113</v>
      </c>
      <c r="F43" s="50">
        <v>892341056</v>
      </c>
      <c r="G43" s="96">
        <v>45752</v>
      </c>
      <c r="H43" s="49">
        <v>650000</v>
      </c>
      <c r="I43" s="47">
        <f t="shared" si="4"/>
        <v>0</v>
      </c>
      <c r="J43" s="45">
        <f t="shared" si="5"/>
        <v>0</v>
      </c>
      <c r="K43" s="47">
        <f t="shared" si="2"/>
        <v>0</v>
      </c>
      <c r="L43" s="47">
        <f t="shared" si="3"/>
        <v>650000</v>
      </c>
      <c r="M43" s="85" t="s">
        <v>1059</v>
      </c>
      <c r="N43" s="45" t="str">
        <f>IFERROR(VLOOKUP(B43, Store!$A:$C, 3, FALSE), "")</f>
        <v>Thành phố Đà Nẵng</v>
      </c>
      <c r="O43" s="48" t="s">
        <v>775</v>
      </c>
      <c r="P43" s="35" t="s">
        <v>1131</v>
      </c>
    </row>
    <row r="44" spans="1:16" x14ac:dyDescent="0.35">
      <c r="A44" s="48" t="s">
        <v>842</v>
      </c>
      <c r="B44" s="48" t="s">
        <v>225</v>
      </c>
      <c r="C44" s="45" t="s">
        <v>390</v>
      </c>
      <c r="D44" s="48" t="s">
        <v>309</v>
      </c>
      <c r="E44" s="48" t="s">
        <v>35</v>
      </c>
      <c r="F44" s="48">
        <v>843157092</v>
      </c>
      <c r="G44" s="96">
        <v>45752</v>
      </c>
      <c r="H44" s="49">
        <v>960000</v>
      </c>
      <c r="I44" s="47">
        <f t="shared" si="4"/>
        <v>0</v>
      </c>
      <c r="J44" s="45">
        <f t="shared" si="5"/>
        <v>0</v>
      </c>
      <c r="K44" s="47">
        <f t="shared" si="2"/>
        <v>0</v>
      </c>
      <c r="L44" s="47">
        <f t="shared" si="3"/>
        <v>960000</v>
      </c>
      <c r="M44" s="85" t="s">
        <v>1059</v>
      </c>
      <c r="N44" s="45" t="str">
        <f>IFERROR(VLOOKUP(B44, Store!$A:$C, 3, FALSE), "")</f>
        <v>Thành phố Đà Nẵng</v>
      </c>
      <c r="O44" s="48" t="s">
        <v>775</v>
      </c>
      <c r="P44" s="35"/>
    </row>
    <row r="45" spans="1:16" x14ac:dyDescent="0.35">
      <c r="A45" s="48" t="s">
        <v>843</v>
      </c>
      <c r="B45" s="48" t="s">
        <v>223</v>
      </c>
      <c r="C45" s="45" t="s">
        <v>388</v>
      </c>
      <c r="D45" s="48" t="s">
        <v>320</v>
      </c>
      <c r="E45" s="48" t="s">
        <v>53</v>
      </c>
      <c r="F45" s="48">
        <v>920475832</v>
      </c>
      <c r="G45" s="96">
        <v>45783</v>
      </c>
      <c r="H45" s="49">
        <v>730000</v>
      </c>
      <c r="I45" s="47">
        <f t="shared" si="4"/>
        <v>0</v>
      </c>
      <c r="J45" s="45">
        <f t="shared" si="5"/>
        <v>0</v>
      </c>
      <c r="K45" s="47">
        <f t="shared" si="2"/>
        <v>0</v>
      </c>
      <c r="L45" s="47">
        <f t="shared" si="3"/>
        <v>730000</v>
      </c>
      <c r="M45" s="85" t="s">
        <v>1061</v>
      </c>
      <c r="N45" s="45" t="str">
        <f>IFERROR(VLOOKUP(B45, Store!$A:$C, 3, FALSE), "")</f>
        <v>Thành phố Cần Thơ</v>
      </c>
      <c r="O45" s="48" t="s">
        <v>775</v>
      </c>
      <c r="P45" s="35"/>
    </row>
    <row r="46" spans="1:16" x14ac:dyDescent="0.35">
      <c r="A46" s="48" t="s">
        <v>844</v>
      </c>
      <c r="B46" s="48" t="s">
        <v>225</v>
      </c>
      <c r="C46" s="45" t="s">
        <v>392</v>
      </c>
      <c r="D46" s="48" t="s">
        <v>331</v>
      </c>
      <c r="E46" s="48" t="s">
        <v>112</v>
      </c>
      <c r="F46" s="48">
        <v>968312045</v>
      </c>
      <c r="G46" s="96">
        <v>45783</v>
      </c>
      <c r="H46" s="49">
        <v>960000</v>
      </c>
      <c r="I46" s="47">
        <f t="shared" si="4"/>
        <v>0</v>
      </c>
      <c r="J46" s="45">
        <f t="shared" si="5"/>
        <v>0</v>
      </c>
      <c r="K46" s="47">
        <f t="shared" si="2"/>
        <v>0</v>
      </c>
      <c r="L46" s="47">
        <f t="shared" si="3"/>
        <v>960000</v>
      </c>
      <c r="M46" s="85" t="s">
        <v>1052</v>
      </c>
      <c r="N46" s="45" t="str">
        <f>IFERROR(VLOOKUP(B46, Store!$A:$C, 3, FALSE), "")</f>
        <v>Thành phố Đà Nẵng</v>
      </c>
      <c r="O46" s="48" t="s">
        <v>775</v>
      </c>
      <c r="P46" s="35"/>
    </row>
    <row r="47" spans="1:16" x14ac:dyDescent="0.35">
      <c r="A47" s="48" t="s">
        <v>845</v>
      </c>
      <c r="B47" s="48" t="s">
        <v>225</v>
      </c>
      <c r="C47" s="45" t="s">
        <v>392</v>
      </c>
      <c r="D47" s="48" t="s">
        <v>342</v>
      </c>
      <c r="E47" s="48" t="s">
        <v>122</v>
      </c>
      <c r="F47" s="48">
        <v>918273645</v>
      </c>
      <c r="G47" s="96">
        <v>45783</v>
      </c>
      <c r="H47" s="49">
        <v>730000</v>
      </c>
      <c r="I47" s="47">
        <f t="shared" si="4"/>
        <v>0</v>
      </c>
      <c r="J47" s="45">
        <f t="shared" si="5"/>
        <v>0</v>
      </c>
      <c r="K47" s="47">
        <f t="shared" si="2"/>
        <v>0</v>
      </c>
      <c r="L47" s="47">
        <f t="shared" si="3"/>
        <v>730000</v>
      </c>
      <c r="M47" s="85" t="s">
        <v>1055</v>
      </c>
      <c r="N47" s="45" t="str">
        <f>IFERROR(VLOOKUP(B47, Store!$A:$C, 3, FALSE), "")</f>
        <v>Thành phố Đà Nẵng</v>
      </c>
      <c r="O47" s="48" t="s">
        <v>775</v>
      </c>
      <c r="P47" s="35"/>
    </row>
    <row r="48" spans="1:16" x14ac:dyDescent="0.35">
      <c r="A48" s="48" t="s">
        <v>846</v>
      </c>
      <c r="B48" s="48" t="s">
        <v>225</v>
      </c>
      <c r="C48" s="45" t="s">
        <v>390</v>
      </c>
      <c r="D48" s="48" t="s">
        <v>353</v>
      </c>
      <c r="E48" s="48" t="s">
        <v>155</v>
      </c>
      <c r="F48" s="48">
        <v>261735712</v>
      </c>
      <c r="G48" s="96">
        <v>45783</v>
      </c>
      <c r="H48" s="49">
        <v>750000</v>
      </c>
      <c r="I48" s="47">
        <f t="shared" si="4"/>
        <v>0</v>
      </c>
      <c r="J48" s="45">
        <f t="shared" si="5"/>
        <v>0</v>
      </c>
      <c r="K48" s="47">
        <f t="shared" si="2"/>
        <v>0</v>
      </c>
      <c r="L48" s="47">
        <f t="shared" si="3"/>
        <v>750000</v>
      </c>
      <c r="M48" s="85" t="s">
        <v>1060</v>
      </c>
      <c r="N48" s="45" t="str">
        <f>IFERROR(VLOOKUP(B48, Store!$A:$C, 3, FALSE), "")</f>
        <v>Thành phố Đà Nẵng</v>
      </c>
      <c r="O48" s="48" t="s">
        <v>775</v>
      </c>
      <c r="P48" s="35"/>
    </row>
    <row r="49" spans="1:16" x14ac:dyDescent="0.35">
      <c r="A49" s="48" t="s">
        <v>847</v>
      </c>
      <c r="B49" s="48" t="s">
        <v>227</v>
      </c>
      <c r="C49" s="45" t="s">
        <v>399</v>
      </c>
      <c r="D49" s="48" t="s">
        <v>349</v>
      </c>
      <c r="E49" s="50" t="s">
        <v>218</v>
      </c>
      <c r="F49" s="50">
        <v>920475832</v>
      </c>
      <c r="G49" s="96">
        <v>45783</v>
      </c>
      <c r="H49" s="49">
        <v>320000</v>
      </c>
      <c r="I49" s="47">
        <f t="shared" si="4"/>
        <v>0</v>
      </c>
      <c r="J49" s="45">
        <f t="shared" si="5"/>
        <v>0</v>
      </c>
      <c r="K49" s="47">
        <f t="shared" si="2"/>
        <v>0</v>
      </c>
      <c r="L49" s="47">
        <f t="shared" si="3"/>
        <v>320000</v>
      </c>
      <c r="M49" s="85" t="s">
        <v>1068</v>
      </c>
      <c r="N49" s="45" t="str">
        <f>IFERROR(VLOOKUP(B49, Store!$A:$C, 3, FALSE), "")</f>
        <v>Thành phố Hải Phòng</v>
      </c>
      <c r="O49" s="48" t="s">
        <v>775</v>
      </c>
      <c r="P49" s="35"/>
    </row>
    <row r="50" spans="1:16" x14ac:dyDescent="0.35">
      <c r="A50" s="48" t="s">
        <v>848</v>
      </c>
      <c r="B50" s="48" t="s">
        <v>227</v>
      </c>
      <c r="C50" s="45" t="s">
        <v>986</v>
      </c>
      <c r="D50" s="48" t="s">
        <v>310</v>
      </c>
      <c r="E50" s="48" t="s">
        <v>43</v>
      </c>
      <c r="F50" s="48">
        <v>298361470</v>
      </c>
      <c r="G50" s="96">
        <v>45783</v>
      </c>
      <c r="H50" s="49">
        <v>310000</v>
      </c>
      <c r="I50" s="47">
        <f t="shared" si="4"/>
        <v>0</v>
      </c>
      <c r="J50" s="45">
        <f t="shared" si="5"/>
        <v>0</v>
      </c>
      <c r="K50" s="47">
        <f t="shared" si="2"/>
        <v>0</v>
      </c>
      <c r="L50" s="47">
        <f t="shared" si="3"/>
        <v>310000</v>
      </c>
      <c r="M50" s="85" t="s">
        <v>1068</v>
      </c>
      <c r="N50" s="45" t="str">
        <f>IFERROR(VLOOKUP(B50, Store!$A:$C, 3, FALSE), "")</f>
        <v>Thành phố Hải Phòng</v>
      </c>
      <c r="O50" s="48" t="s">
        <v>775</v>
      </c>
      <c r="P50" s="35"/>
    </row>
    <row r="51" spans="1:16" x14ac:dyDescent="0.35">
      <c r="A51" s="48" t="s">
        <v>849</v>
      </c>
      <c r="B51" s="48" t="s">
        <v>227</v>
      </c>
      <c r="C51" s="45" t="s">
        <v>985</v>
      </c>
      <c r="D51" s="48" t="s">
        <v>321</v>
      </c>
      <c r="E51" s="48" t="s">
        <v>54</v>
      </c>
      <c r="F51" s="48">
        <v>901862435</v>
      </c>
      <c r="G51" s="96">
        <v>45783</v>
      </c>
      <c r="H51" s="49">
        <v>250000</v>
      </c>
      <c r="I51" s="47">
        <f t="shared" si="4"/>
        <v>0</v>
      </c>
      <c r="J51" s="45">
        <f t="shared" si="5"/>
        <v>0</v>
      </c>
      <c r="K51" s="47">
        <f t="shared" si="2"/>
        <v>0</v>
      </c>
      <c r="L51" s="47">
        <f t="shared" si="3"/>
        <v>250000</v>
      </c>
      <c r="M51" s="85" t="s">
        <v>1068</v>
      </c>
      <c r="N51" s="45" t="str">
        <f>IFERROR(VLOOKUP(B51, Store!$A:$C, 3, FALSE), "")</f>
        <v>Thành phố Hải Phòng</v>
      </c>
      <c r="O51" s="48" t="s">
        <v>775</v>
      </c>
      <c r="P51" s="35"/>
    </row>
    <row r="52" spans="1:16" x14ac:dyDescent="0.35">
      <c r="A52" s="48" t="s">
        <v>850</v>
      </c>
      <c r="B52" s="48" t="s">
        <v>226</v>
      </c>
      <c r="C52" s="45" t="s">
        <v>381</v>
      </c>
      <c r="D52" s="48" t="s">
        <v>332</v>
      </c>
      <c r="E52" s="48" t="s">
        <v>113</v>
      </c>
      <c r="F52" s="48">
        <v>892341056</v>
      </c>
      <c r="G52" s="96">
        <v>45783</v>
      </c>
      <c r="H52" s="49">
        <v>1250000</v>
      </c>
      <c r="I52" s="47">
        <f t="shared" si="4"/>
        <v>0</v>
      </c>
      <c r="J52" s="45">
        <f t="shared" si="5"/>
        <v>0</v>
      </c>
      <c r="K52" s="47">
        <f t="shared" si="2"/>
        <v>0</v>
      </c>
      <c r="L52" s="47">
        <f t="shared" si="3"/>
        <v>1250000</v>
      </c>
      <c r="M52" s="85" t="s">
        <v>1075</v>
      </c>
      <c r="N52" s="45" t="str">
        <f>IFERROR(VLOOKUP(B52, Store!$A:$C, 3, FALSE), "")</f>
        <v>Thành phố Hồ Chí Minh</v>
      </c>
      <c r="O52" s="48" t="s">
        <v>775</v>
      </c>
      <c r="P52" s="35"/>
    </row>
    <row r="53" spans="1:16" x14ac:dyDescent="0.35">
      <c r="A53" s="48" t="s">
        <v>851</v>
      </c>
      <c r="B53" s="48" t="s">
        <v>226</v>
      </c>
      <c r="C53" s="45" t="s">
        <v>376</v>
      </c>
      <c r="D53" s="48" t="s">
        <v>343</v>
      </c>
      <c r="E53" s="48" t="s">
        <v>123</v>
      </c>
      <c r="F53" s="48">
        <v>909456217</v>
      </c>
      <c r="G53" s="96">
        <v>45815</v>
      </c>
      <c r="H53" s="49">
        <v>980000</v>
      </c>
      <c r="I53" s="47">
        <f t="shared" si="4"/>
        <v>0</v>
      </c>
      <c r="J53" s="45">
        <f t="shared" si="5"/>
        <v>0</v>
      </c>
      <c r="K53" s="47">
        <f t="shared" si="2"/>
        <v>0</v>
      </c>
      <c r="L53" s="47">
        <f t="shared" si="3"/>
        <v>980000</v>
      </c>
      <c r="M53" s="86" t="s">
        <v>1050</v>
      </c>
      <c r="N53" s="45" t="str">
        <f>IFERROR(VLOOKUP(B53, Store!$A:$C, 3, FALSE), "")</f>
        <v>Thành phố Hồ Chí Minh</v>
      </c>
      <c r="O53" s="48" t="s">
        <v>775</v>
      </c>
      <c r="P53" s="35"/>
    </row>
    <row r="54" spans="1:16" x14ac:dyDescent="0.35">
      <c r="A54" s="48" t="s">
        <v>852</v>
      </c>
      <c r="B54" s="48" t="s">
        <v>220</v>
      </c>
      <c r="C54" s="45" t="s">
        <v>379</v>
      </c>
      <c r="D54" s="48" t="s">
        <v>354</v>
      </c>
      <c r="E54" s="48" t="s">
        <v>154</v>
      </c>
      <c r="F54" s="48">
        <v>862128901</v>
      </c>
      <c r="G54" s="96">
        <v>45845</v>
      </c>
      <c r="H54" s="49">
        <v>1170000</v>
      </c>
      <c r="I54" s="47" t="str">
        <f t="shared" si="4"/>
        <v>DIS_003A</v>
      </c>
      <c r="J54" s="45">
        <f t="shared" si="5"/>
        <v>20</v>
      </c>
      <c r="K54" s="47">
        <f t="shared" si="2"/>
        <v>234000</v>
      </c>
      <c r="L54" s="47">
        <f t="shared" si="3"/>
        <v>936000</v>
      </c>
      <c r="M54" s="85" t="s">
        <v>213</v>
      </c>
      <c r="N54" s="45" t="str">
        <f>IFERROR(VLOOKUP(B54, Store!$A:$C, 3, FALSE), "")</f>
        <v>Thành phố Hồ Chí Minh</v>
      </c>
      <c r="O54" s="48" t="s">
        <v>775</v>
      </c>
      <c r="P54" s="35"/>
    </row>
    <row r="55" spans="1:16" x14ac:dyDescent="0.35">
      <c r="A55" s="48" t="s">
        <v>853</v>
      </c>
      <c r="B55" s="48" t="s">
        <v>222</v>
      </c>
      <c r="C55" s="45" t="s">
        <v>383</v>
      </c>
      <c r="D55" s="48" t="s">
        <v>304</v>
      </c>
      <c r="E55" s="50" t="s">
        <v>28</v>
      </c>
      <c r="F55" s="50">
        <v>918273645</v>
      </c>
      <c r="G55" s="96">
        <v>45845</v>
      </c>
      <c r="H55" s="49">
        <v>1170000</v>
      </c>
      <c r="I55" s="47" t="str">
        <f t="shared" si="4"/>
        <v>DIS_003A</v>
      </c>
      <c r="J55" s="45">
        <f t="shared" si="5"/>
        <v>20</v>
      </c>
      <c r="K55" s="47">
        <f t="shared" si="2"/>
        <v>234000</v>
      </c>
      <c r="L55" s="47">
        <f t="shared" si="3"/>
        <v>936000</v>
      </c>
      <c r="M55" s="85" t="s">
        <v>1065</v>
      </c>
      <c r="N55" s="45" t="str">
        <f>IFERROR(VLOOKUP(B55, Store!$A:$C, 3, FALSE), "")</f>
        <v>Thành phố Hà Nội</v>
      </c>
      <c r="O55" s="48" t="s">
        <v>775</v>
      </c>
      <c r="P55" s="35"/>
    </row>
    <row r="56" spans="1:16" x14ac:dyDescent="0.35">
      <c r="A56" s="48" t="s">
        <v>854</v>
      </c>
      <c r="B56" s="48" t="s">
        <v>222</v>
      </c>
      <c r="C56" s="45" t="s">
        <v>385</v>
      </c>
      <c r="D56" s="48" t="s">
        <v>311</v>
      </c>
      <c r="E56" s="48" t="s">
        <v>44</v>
      </c>
      <c r="F56" s="48">
        <v>897402513</v>
      </c>
      <c r="G56" s="96">
        <v>45845</v>
      </c>
      <c r="H56" s="49">
        <v>690000</v>
      </c>
      <c r="I56" s="47">
        <f t="shared" si="4"/>
        <v>0</v>
      </c>
      <c r="J56" s="45">
        <f t="shared" si="5"/>
        <v>0</v>
      </c>
      <c r="K56" s="47">
        <f t="shared" si="2"/>
        <v>0</v>
      </c>
      <c r="L56" s="47">
        <f t="shared" si="3"/>
        <v>690000</v>
      </c>
      <c r="M56" s="85" t="s">
        <v>1065</v>
      </c>
      <c r="N56" s="45" t="str">
        <f>IFERROR(VLOOKUP(B56, Store!$A:$C, 3, FALSE), "")</f>
        <v>Thành phố Hà Nội</v>
      </c>
      <c r="O56" s="48" t="s">
        <v>775</v>
      </c>
      <c r="P56" s="35"/>
    </row>
    <row r="57" spans="1:16" x14ac:dyDescent="0.35">
      <c r="A57" s="48" t="s">
        <v>855</v>
      </c>
      <c r="B57" s="48" t="s">
        <v>223</v>
      </c>
      <c r="C57" s="45" t="s">
        <v>388</v>
      </c>
      <c r="D57" s="48" t="s">
        <v>322</v>
      </c>
      <c r="E57" s="48" t="s">
        <v>55</v>
      </c>
      <c r="F57" s="48">
        <v>827349160</v>
      </c>
      <c r="G57" s="96">
        <v>45845</v>
      </c>
      <c r="H57" s="49">
        <v>920000</v>
      </c>
      <c r="I57" s="47">
        <f t="shared" si="4"/>
        <v>0</v>
      </c>
      <c r="J57" s="45">
        <f t="shared" si="5"/>
        <v>0</v>
      </c>
      <c r="K57" s="47">
        <f t="shared" si="2"/>
        <v>0</v>
      </c>
      <c r="L57" s="47">
        <f t="shared" si="3"/>
        <v>920000</v>
      </c>
      <c r="M57" s="85" t="s">
        <v>1062</v>
      </c>
      <c r="N57" s="45" t="str">
        <f>IFERROR(VLOOKUP(B57, Store!$A:$C, 3, FALSE), "")</f>
        <v>Thành phố Cần Thơ</v>
      </c>
      <c r="O57" s="48" t="s">
        <v>775</v>
      </c>
      <c r="P57" s="35"/>
    </row>
    <row r="58" spans="1:16" x14ac:dyDescent="0.35">
      <c r="A58" s="48" t="s">
        <v>856</v>
      </c>
      <c r="B58" s="48" t="s">
        <v>222</v>
      </c>
      <c r="C58" s="45" t="s">
        <v>384</v>
      </c>
      <c r="D58" s="48" t="s">
        <v>333</v>
      </c>
      <c r="E58" s="48" t="s">
        <v>114</v>
      </c>
      <c r="F58" s="48">
        <v>982013476</v>
      </c>
      <c r="G58" s="96">
        <v>45845</v>
      </c>
      <c r="H58" s="49">
        <v>1150000</v>
      </c>
      <c r="I58" s="47" t="str">
        <f t="shared" si="4"/>
        <v>DIS_003A</v>
      </c>
      <c r="J58" s="45">
        <f t="shared" si="5"/>
        <v>20</v>
      </c>
      <c r="K58" s="47">
        <f t="shared" si="2"/>
        <v>230000</v>
      </c>
      <c r="L58" s="47">
        <f t="shared" si="3"/>
        <v>920000</v>
      </c>
      <c r="M58" s="85" t="s">
        <v>1063</v>
      </c>
      <c r="N58" s="45" t="str">
        <f>IFERROR(VLOOKUP(B58, Store!$A:$C, 3, FALSE), "")</f>
        <v>Thành phố Hà Nội</v>
      </c>
      <c r="O58" s="48" t="s">
        <v>775</v>
      </c>
      <c r="P58" s="35"/>
    </row>
    <row r="59" spans="1:16" x14ac:dyDescent="0.35">
      <c r="A59" s="48" t="s">
        <v>857</v>
      </c>
      <c r="B59" s="48" t="s">
        <v>227</v>
      </c>
      <c r="C59" s="45" t="s">
        <v>984</v>
      </c>
      <c r="D59" s="48" t="s">
        <v>344</v>
      </c>
      <c r="E59" s="48" t="s">
        <v>124</v>
      </c>
      <c r="F59" s="48">
        <v>921384059</v>
      </c>
      <c r="G59" s="96">
        <v>45845</v>
      </c>
      <c r="H59" s="49">
        <v>1070000</v>
      </c>
      <c r="I59" s="47" t="str">
        <f t="shared" si="4"/>
        <v>DIS_003A</v>
      </c>
      <c r="J59" s="45">
        <f t="shared" si="5"/>
        <v>20</v>
      </c>
      <c r="K59" s="47">
        <f t="shared" si="2"/>
        <v>214000</v>
      </c>
      <c r="L59" s="47">
        <f t="shared" si="3"/>
        <v>856000</v>
      </c>
      <c r="M59" s="85" t="s">
        <v>1069</v>
      </c>
      <c r="N59" s="45" t="str">
        <f>IFERROR(VLOOKUP(B59, Store!$A:$C, 3, FALSE), "")</f>
        <v>Thành phố Hải Phòng</v>
      </c>
      <c r="O59" s="48" t="s">
        <v>775</v>
      </c>
      <c r="P59" s="35"/>
    </row>
    <row r="60" spans="1:16" ht="14" customHeight="1" x14ac:dyDescent="0.35">
      <c r="A60" s="48" t="s">
        <v>858</v>
      </c>
      <c r="B60" s="48" t="s">
        <v>223</v>
      </c>
      <c r="C60" s="45" t="s">
        <v>389</v>
      </c>
      <c r="D60" s="48" t="s">
        <v>310</v>
      </c>
      <c r="E60" s="50" t="s">
        <v>43</v>
      </c>
      <c r="F60" s="50">
        <v>298361470</v>
      </c>
      <c r="G60" s="96">
        <v>45845</v>
      </c>
      <c r="H60" s="49">
        <v>1500000</v>
      </c>
      <c r="I60" s="47" t="str">
        <f t="shared" si="4"/>
        <v>DIS_003A</v>
      </c>
      <c r="J60" s="45">
        <f t="shared" si="5"/>
        <v>20</v>
      </c>
      <c r="K60" s="47">
        <f t="shared" si="2"/>
        <v>300000</v>
      </c>
      <c r="L60" s="47">
        <f t="shared" si="3"/>
        <v>1200000</v>
      </c>
      <c r="M60" s="85" t="s">
        <v>1077</v>
      </c>
      <c r="N60" s="45" t="s">
        <v>1076</v>
      </c>
      <c r="O60" s="48" t="s">
        <v>775</v>
      </c>
      <c r="P60" s="35"/>
    </row>
    <row r="61" spans="1:16" x14ac:dyDescent="0.35">
      <c r="A61" s="48" t="s">
        <v>859</v>
      </c>
      <c r="B61" s="48" t="s">
        <v>227</v>
      </c>
      <c r="C61" s="45" t="s">
        <v>399</v>
      </c>
      <c r="D61" s="48" t="s">
        <v>312</v>
      </c>
      <c r="E61" s="48" t="s">
        <v>45</v>
      </c>
      <c r="F61" s="48">
        <v>813496725</v>
      </c>
      <c r="G61" s="96">
        <v>45845</v>
      </c>
      <c r="H61" s="49">
        <v>1320000</v>
      </c>
      <c r="I61" s="47" t="str">
        <f t="shared" si="4"/>
        <v>DIS_003A</v>
      </c>
      <c r="J61" s="45">
        <f t="shared" si="5"/>
        <v>20</v>
      </c>
      <c r="K61" s="47">
        <f t="shared" si="2"/>
        <v>264000</v>
      </c>
      <c r="L61" s="47">
        <f t="shared" si="3"/>
        <v>1056000</v>
      </c>
      <c r="M61" s="85" t="s">
        <v>1078</v>
      </c>
      <c r="N61" s="45" t="str">
        <f>IFERROR(VLOOKUP(B61, Store!$A:$C, 3, FALSE), "")</f>
        <v>Thành phố Hải Phòng</v>
      </c>
      <c r="O61" s="48" t="s">
        <v>775</v>
      </c>
      <c r="P61" s="35"/>
    </row>
    <row r="62" spans="1:16" x14ac:dyDescent="0.35">
      <c r="A62" s="48" t="s">
        <v>860</v>
      </c>
      <c r="B62" s="48" t="s">
        <v>226</v>
      </c>
      <c r="C62" s="45" t="s">
        <v>379</v>
      </c>
      <c r="D62" s="48" t="s">
        <v>323</v>
      </c>
      <c r="E62" s="48" t="s">
        <v>56</v>
      </c>
      <c r="F62" s="48">
        <v>965482130</v>
      </c>
      <c r="G62" s="96">
        <v>45845</v>
      </c>
      <c r="H62" s="49">
        <v>1900000</v>
      </c>
      <c r="I62" s="47" t="str">
        <f t="shared" si="4"/>
        <v>DIS_003A</v>
      </c>
      <c r="J62" s="45">
        <f t="shared" si="5"/>
        <v>20</v>
      </c>
      <c r="K62" s="47">
        <f t="shared" si="2"/>
        <v>380000</v>
      </c>
      <c r="L62" s="47">
        <f t="shared" si="3"/>
        <v>1520000</v>
      </c>
      <c r="M62" s="85" t="s">
        <v>179</v>
      </c>
      <c r="N62" s="45" t="s">
        <v>202</v>
      </c>
      <c r="O62" s="48" t="s">
        <v>775</v>
      </c>
      <c r="P62" s="35"/>
    </row>
    <row r="63" spans="1:16" x14ac:dyDescent="0.35">
      <c r="A63" s="48" t="s">
        <v>861</v>
      </c>
      <c r="B63" s="48" t="s">
        <v>227</v>
      </c>
      <c r="C63" s="45" t="s">
        <v>987</v>
      </c>
      <c r="D63" s="48" t="s">
        <v>334</v>
      </c>
      <c r="E63" s="48" t="s">
        <v>115</v>
      </c>
      <c r="F63" s="48">
        <v>907436128</v>
      </c>
      <c r="G63" s="96">
        <v>45845</v>
      </c>
      <c r="H63" s="49">
        <v>780000</v>
      </c>
      <c r="I63" s="47">
        <f t="shared" si="4"/>
        <v>0</v>
      </c>
      <c r="J63" s="45">
        <f t="shared" si="5"/>
        <v>0</v>
      </c>
      <c r="K63" s="47">
        <f t="shared" si="2"/>
        <v>0</v>
      </c>
      <c r="L63" s="47">
        <f t="shared" si="3"/>
        <v>780000</v>
      </c>
      <c r="M63" s="85" t="s">
        <v>185</v>
      </c>
      <c r="N63" s="45" t="s">
        <v>197</v>
      </c>
      <c r="O63" s="48" t="s">
        <v>775</v>
      </c>
      <c r="P63" s="35"/>
    </row>
    <row r="64" spans="1:16" x14ac:dyDescent="0.35">
      <c r="A64" s="48" t="s">
        <v>862</v>
      </c>
      <c r="B64" s="48" t="s">
        <v>223</v>
      </c>
      <c r="C64" s="45" t="s">
        <v>389</v>
      </c>
      <c r="D64" s="48" t="s">
        <v>345</v>
      </c>
      <c r="E64" s="48" t="s">
        <v>125</v>
      </c>
      <c r="F64" s="48">
        <v>903281764</v>
      </c>
      <c r="G64" s="96">
        <v>45845</v>
      </c>
      <c r="H64" s="49">
        <v>880000</v>
      </c>
      <c r="I64" s="47">
        <f t="shared" si="4"/>
        <v>0</v>
      </c>
      <c r="J64" s="45">
        <f t="shared" si="5"/>
        <v>0</v>
      </c>
      <c r="K64" s="47">
        <f t="shared" si="2"/>
        <v>0</v>
      </c>
      <c r="L64" s="47">
        <f t="shared" si="3"/>
        <v>880000</v>
      </c>
      <c r="M64" s="85" t="s">
        <v>190</v>
      </c>
      <c r="N64" s="45" t="s">
        <v>209</v>
      </c>
      <c r="O64" s="48" t="s">
        <v>775</v>
      </c>
      <c r="P64" s="35"/>
    </row>
    <row r="65" spans="1:16" x14ac:dyDescent="0.35">
      <c r="A65" s="48" t="s">
        <v>863</v>
      </c>
      <c r="B65" s="48" t="s">
        <v>226</v>
      </c>
      <c r="C65" s="45" t="s">
        <v>382</v>
      </c>
      <c r="D65" s="48" t="s">
        <v>346</v>
      </c>
      <c r="E65" s="50" t="s">
        <v>126</v>
      </c>
      <c r="F65" s="50">
        <v>826410938</v>
      </c>
      <c r="G65" s="96">
        <v>45845</v>
      </c>
      <c r="H65" s="49">
        <v>1030000</v>
      </c>
      <c r="I65" s="47" t="str">
        <f t="shared" si="4"/>
        <v>DIS_003A</v>
      </c>
      <c r="J65" s="45">
        <f t="shared" si="5"/>
        <v>20</v>
      </c>
      <c r="K65" s="47">
        <f t="shared" si="2"/>
        <v>206000</v>
      </c>
      <c r="L65" s="47">
        <f t="shared" si="3"/>
        <v>824000</v>
      </c>
      <c r="M65" s="85" t="s">
        <v>191</v>
      </c>
      <c r="N65" s="45" t="str">
        <f>IFERROR(VLOOKUP(B65, Store!$A:$C, 3, FALSE), "")</f>
        <v>Thành phố Hồ Chí Minh</v>
      </c>
      <c r="O65" s="48" t="s">
        <v>775</v>
      </c>
      <c r="P65" s="35"/>
    </row>
    <row r="66" spans="1:16" x14ac:dyDescent="0.35">
      <c r="A66" s="48" t="s">
        <v>864</v>
      </c>
      <c r="B66" s="48" t="s">
        <v>222</v>
      </c>
      <c r="C66" s="45" t="s">
        <v>385</v>
      </c>
      <c r="D66" s="48" t="s">
        <v>313</v>
      </c>
      <c r="E66" s="48" t="s">
        <v>46</v>
      </c>
      <c r="F66" s="48">
        <v>904628731</v>
      </c>
      <c r="G66" s="96">
        <v>45845</v>
      </c>
      <c r="H66" s="49">
        <v>875000</v>
      </c>
      <c r="I66" s="47">
        <f t="shared" ref="I66:I97" si="6">IF(AND(G66=DATE(2025,7,7), H66&gt;=1000000), "DIS_003A",
   IF(AND(G66=DATE(2025,7,15), H66&gt;=1000000), "DIS_003B", 0))</f>
        <v>0</v>
      </c>
      <c r="J66" s="45">
        <f t="shared" ref="J66:J97" si="7">IF(AND(OR(G66=DATE(2025,7,7), G66=DATE(2025,7,15)), H66 &gt;= 1000000), 20, 0)</f>
        <v>0</v>
      </c>
      <c r="K66" s="47">
        <f t="shared" si="2"/>
        <v>0</v>
      </c>
      <c r="L66" s="47">
        <f t="shared" si="3"/>
        <v>875000</v>
      </c>
      <c r="M66" s="85" t="s">
        <v>175</v>
      </c>
      <c r="N66" s="45" t="str">
        <f>IFERROR(VLOOKUP(B66, Store!$A:$C, 3, FALSE), "")</f>
        <v>Thành phố Hà Nội</v>
      </c>
      <c r="O66" s="48" t="s">
        <v>775</v>
      </c>
      <c r="P66" s="35"/>
    </row>
    <row r="67" spans="1:16" x14ac:dyDescent="0.35">
      <c r="A67" s="48" t="s">
        <v>865</v>
      </c>
      <c r="B67" s="48" t="s">
        <v>227</v>
      </c>
      <c r="C67" s="45" t="s">
        <v>385</v>
      </c>
      <c r="D67" s="48" t="s">
        <v>324</v>
      </c>
      <c r="E67" s="48" t="s">
        <v>57</v>
      </c>
      <c r="F67" s="48">
        <v>830947512</v>
      </c>
      <c r="G67" s="96">
        <v>45845</v>
      </c>
      <c r="H67" s="49">
        <v>1500000</v>
      </c>
      <c r="I67" s="47" t="str">
        <f t="shared" si="6"/>
        <v>DIS_003A</v>
      </c>
      <c r="J67" s="45">
        <f t="shared" si="7"/>
        <v>20</v>
      </c>
      <c r="K67" s="47">
        <f t="shared" ref="K67:K130" si="8">H67*J67%</f>
        <v>300000</v>
      </c>
      <c r="L67" s="47">
        <f t="shared" ref="L67:L130" si="9">H67-K67</f>
        <v>1200000</v>
      </c>
      <c r="M67" s="85" t="s">
        <v>180</v>
      </c>
      <c r="N67" s="45" t="s">
        <v>203</v>
      </c>
      <c r="O67" s="48" t="s">
        <v>775</v>
      </c>
      <c r="P67" s="35"/>
    </row>
    <row r="68" spans="1:16" x14ac:dyDescent="0.35">
      <c r="A68" s="48" t="s">
        <v>866</v>
      </c>
      <c r="B68" s="48" t="s">
        <v>222</v>
      </c>
      <c r="C68" s="45" t="s">
        <v>383</v>
      </c>
      <c r="D68" s="48" t="s">
        <v>335</v>
      </c>
      <c r="E68" s="48" t="s">
        <v>116</v>
      </c>
      <c r="F68" s="48">
        <v>829381046</v>
      </c>
      <c r="G68" s="96">
        <v>45845</v>
      </c>
      <c r="H68" s="49">
        <v>670000</v>
      </c>
      <c r="I68" s="47">
        <f t="shared" si="6"/>
        <v>0</v>
      </c>
      <c r="J68" s="45">
        <f t="shared" si="7"/>
        <v>0</v>
      </c>
      <c r="K68" s="47">
        <f t="shared" si="8"/>
        <v>0</v>
      </c>
      <c r="L68" s="47">
        <f t="shared" si="9"/>
        <v>670000</v>
      </c>
      <c r="M68" s="85" t="s">
        <v>1066</v>
      </c>
      <c r="N68" s="45" t="str">
        <f>IFERROR(VLOOKUP(B68, Store!$A:$C, 3, FALSE), "")</f>
        <v>Thành phố Hà Nội</v>
      </c>
      <c r="O68" s="48" t="s">
        <v>775</v>
      </c>
      <c r="P68" s="35" t="s">
        <v>1132</v>
      </c>
    </row>
    <row r="69" spans="1:16" x14ac:dyDescent="0.35">
      <c r="A69" s="48" t="s">
        <v>867</v>
      </c>
      <c r="B69" s="48" t="s">
        <v>223</v>
      </c>
      <c r="C69" s="45" t="s">
        <v>387</v>
      </c>
      <c r="D69" s="48" t="s">
        <v>346</v>
      </c>
      <c r="E69" s="48" t="s">
        <v>126</v>
      </c>
      <c r="F69" s="48">
        <v>826410938</v>
      </c>
      <c r="G69" s="96">
        <v>45845</v>
      </c>
      <c r="H69" s="49">
        <v>880000</v>
      </c>
      <c r="I69" s="47">
        <f t="shared" si="6"/>
        <v>0</v>
      </c>
      <c r="J69" s="45">
        <f t="shared" si="7"/>
        <v>0</v>
      </c>
      <c r="K69" s="47">
        <f t="shared" si="8"/>
        <v>0</v>
      </c>
      <c r="L69" s="47">
        <f t="shared" si="9"/>
        <v>880000</v>
      </c>
      <c r="M69" s="85" t="s">
        <v>1079</v>
      </c>
      <c r="N69" s="45" t="str">
        <f>IFERROR(VLOOKUP(B69, Store!$A:$C, 3, FALSE), "")</f>
        <v>Thành phố Cần Thơ</v>
      </c>
      <c r="O69" s="48" t="s">
        <v>775</v>
      </c>
      <c r="P69" s="35" t="s">
        <v>1132</v>
      </c>
    </row>
    <row r="70" spans="1:16" ht="17.5" customHeight="1" x14ac:dyDescent="0.35">
      <c r="A70" s="48" t="s">
        <v>868</v>
      </c>
      <c r="B70" s="48" t="s">
        <v>225</v>
      </c>
      <c r="C70" s="45" t="s">
        <v>394</v>
      </c>
      <c r="D70" s="48" t="s">
        <v>350</v>
      </c>
      <c r="E70" s="50" t="s">
        <v>130</v>
      </c>
      <c r="F70" s="50">
        <v>916472309</v>
      </c>
      <c r="G70" s="96">
        <v>45845</v>
      </c>
      <c r="H70" s="49">
        <v>1140000</v>
      </c>
      <c r="I70" s="47" t="str">
        <f t="shared" si="6"/>
        <v>DIS_003A</v>
      </c>
      <c r="J70" s="45">
        <f t="shared" si="7"/>
        <v>20</v>
      </c>
      <c r="K70" s="47">
        <f t="shared" si="8"/>
        <v>228000</v>
      </c>
      <c r="L70" s="47">
        <f t="shared" si="9"/>
        <v>912000</v>
      </c>
      <c r="M70" s="85" t="s">
        <v>1054</v>
      </c>
      <c r="N70" s="45" t="str">
        <f>IFERROR(VLOOKUP(B70, Store!$A:$C, 3, FALSE), "")</f>
        <v>Thành phố Đà Nẵng</v>
      </c>
      <c r="O70" s="48" t="s">
        <v>775</v>
      </c>
      <c r="P70" s="35" t="s">
        <v>1132</v>
      </c>
    </row>
    <row r="71" spans="1:16" x14ac:dyDescent="0.35">
      <c r="A71" s="48" t="s">
        <v>869</v>
      </c>
      <c r="B71" s="48" t="s">
        <v>222</v>
      </c>
      <c r="C71" s="45" t="s">
        <v>384</v>
      </c>
      <c r="D71" s="48" t="s">
        <v>316</v>
      </c>
      <c r="E71" s="48" t="s">
        <v>49</v>
      </c>
      <c r="F71" s="48">
        <v>869014328</v>
      </c>
      <c r="G71" s="96">
        <v>45845</v>
      </c>
      <c r="H71" s="49">
        <v>625000</v>
      </c>
      <c r="I71" s="47">
        <f t="shared" si="6"/>
        <v>0</v>
      </c>
      <c r="J71" s="45">
        <f t="shared" si="7"/>
        <v>0</v>
      </c>
      <c r="K71" s="47">
        <f t="shared" si="8"/>
        <v>0</v>
      </c>
      <c r="L71" s="47">
        <f t="shared" si="9"/>
        <v>625000</v>
      </c>
      <c r="M71" s="85" t="s">
        <v>165</v>
      </c>
      <c r="N71" s="45" t="str">
        <f>IFERROR(VLOOKUP(B71, Store!$A:$C, 3, FALSE), "")</f>
        <v>Thành phố Hà Nội</v>
      </c>
      <c r="O71" s="48" t="s">
        <v>775</v>
      </c>
      <c r="P71" s="35" t="s">
        <v>1132</v>
      </c>
    </row>
    <row r="72" spans="1:16" x14ac:dyDescent="0.35">
      <c r="A72" s="48" t="s">
        <v>870</v>
      </c>
      <c r="B72" s="48" t="s">
        <v>226</v>
      </c>
      <c r="C72" s="45" t="s">
        <v>381</v>
      </c>
      <c r="D72" s="48" t="s">
        <v>327</v>
      </c>
      <c r="E72" s="48" t="s">
        <v>37</v>
      </c>
      <c r="F72" s="48">
        <v>891306452</v>
      </c>
      <c r="G72" s="96">
        <v>45845</v>
      </c>
      <c r="H72" s="49">
        <v>1280000</v>
      </c>
      <c r="I72" s="47" t="str">
        <f t="shared" si="6"/>
        <v>DIS_003A</v>
      </c>
      <c r="J72" s="45">
        <f t="shared" si="7"/>
        <v>20</v>
      </c>
      <c r="K72" s="47">
        <f t="shared" si="8"/>
        <v>256000</v>
      </c>
      <c r="L72" s="47">
        <f t="shared" si="9"/>
        <v>1024000</v>
      </c>
      <c r="M72" s="85" t="s">
        <v>1081</v>
      </c>
      <c r="N72" s="45" t="str">
        <f>IFERROR(VLOOKUP(B72, Store!$A:$C, 3, FALSE), "")</f>
        <v>Thành phố Hồ Chí Minh</v>
      </c>
      <c r="O72" s="48" t="s">
        <v>775</v>
      </c>
      <c r="P72" s="35" t="s">
        <v>1132</v>
      </c>
    </row>
    <row r="73" spans="1:16" x14ac:dyDescent="0.35">
      <c r="A73" s="48" t="s">
        <v>871</v>
      </c>
      <c r="B73" s="48" t="s">
        <v>225</v>
      </c>
      <c r="C73" s="45" t="s">
        <v>392</v>
      </c>
      <c r="D73" s="48" t="s">
        <v>338</v>
      </c>
      <c r="E73" s="48" t="s">
        <v>217</v>
      </c>
      <c r="F73" s="48">
        <v>932847619</v>
      </c>
      <c r="G73" s="96">
        <v>45816</v>
      </c>
      <c r="H73" s="49">
        <v>875000</v>
      </c>
      <c r="I73" s="47">
        <f t="shared" si="6"/>
        <v>0</v>
      </c>
      <c r="J73" s="45">
        <f t="shared" si="7"/>
        <v>0</v>
      </c>
      <c r="K73" s="47">
        <f t="shared" si="8"/>
        <v>0</v>
      </c>
      <c r="L73" s="47">
        <f t="shared" si="9"/>
        <v>875000</v>
      </c>
      <c r="M73" s="85" t="s">
        <v>187</v>
      </c>
      <c r="N73" s="45" t="s">
        <v>198</v>
      </c>
      <c r="O73" s="48" t="s">
        <v>775</v>
      </c>
      <c r="P73" s="35" t="s">
        <v>1132</v>
      </c>
    </row>
    <row r="74" spans="1:16" x14ac:dyDescent="0.35">
      <c r="A74" s="48" t="s">
        <v>872</v>
      </c>
      <c r="B74" s="48" t="s">
        <v>225</v>
      </c>
      <c r="C74" s="45" t="s">
        <v>390</v>
      </c>
      <c r="D74" s="48" t="s">
        <v>349</v>
      </c>
      <c r="E74" s="48" t="s">
        <v>218</v>
      </c>
      <c r="F74" s="48">
        <v>709436521</v>
      </c>
      <c r="G74" s="96">
        <v>45816</v>
      </c>
      <c r="H74" s="49">
        <v>880000</v>
      </c>
      <c r="I74" s="47">
        <f t="shared" si="6"/>
        <v>0</v>
      </c>
      <c r="J74" s="45">
        <f t="shared" si="7"/>
        <v>0</v>
      </c>
      <c r="K74" s="47">
        <f t="shared" si="8"/>
        <v>0</v>
      </c>
      <c r="L74" s="47">
        <f t="shared" si="9"/>
        <v>880000</v>
      </c>
      <c r="M74" s="85" t="s">
        <v>1082</v>
      </c>
      <c r="N74" s="45" t="str">
        <f>IFERROR(VLOOKUP(B74, Store!$A:$C, 3, FALSE), "")</f>
        <v>Thành phố Đà Nẵng</v>
      </c>
      <c r="O74" s="48" t="s">
        <v>775</v>
      </c>
      <c r="P74" s="35" t="s">
        <v>1132</v>
      </c>
    </row>
    <row r="75" spans="1:16" ht="17" customHeight="1" x14ac:dyDescent="0.35">
      <c r="A75" s="48" t="s">
        <v>873</v>
      </c>
      <c r="B75" s="48" t="s">
        <v>225</v>
      </c>
      <c r="C75" s="45" t="s">
        <v>390</v>
      </c>
      <c r="D75" s="48" t="s">
        <v>300</v>
      </c>
      <c r="E75" s="50" t="s">
        <v>24</v>
      </c>
      <c r="F75" s="50">
        <v>794562380</v>
      </c>
      <c r="G75" s="96">
        <v>45816</v>
      </c>
      <c r="H75" s="49">
        <v>1040000</v>
      </c>
      <c r="I75" s="47">
        <f t="shared" si="6"/>
        <v>0</v>
      </c>
      <c r="J75" s="45">
        <f t="shared" si="7"/>
        <v>0</v>
      </c>
      <c r="K75" s="47">
        <f t="shared" si="8"/>
        <v>0</v>
      </c>
      <c r="L75" s="47">
        <f t="shared" si="9"/>
        <v>1040000</v>
      </c>
      <c r="M75" s="85" t="s">
        <v>172</v>
      </c>
      <c r="N75" s="45" t="str">
        <f>IFERROR(VLOOKUP(B75, Store!$A:$C, 3, FALSE), "")</f>
        <v>Thành phố Đà Nẵng</v>
      </c>
      <c r="O75" s="48" t="s">
        <v>775</v>
      </c>
      <c r="P75" s="35" t="s">
        <v>1132</v>
      </c>
    </row>
    <row r="76" spans="1:16" x14ac:dyDescent="0.35">
      <c r="A76" s="48" t="s">
        <v>874</v>
      </c>
      <c r="B76" s="48" t="s">
        <v>220</v>
      </c>
      <c r="C76" s="45" t="s">
        <v>376</v>
      </c>
      <c r="D76" s="48" t="s">
        <v>304</v>
      </c>
      <c r="E76" s="48" t="s">
        <v>28</v>
      </c>
      <c r="F76" s="48">
        <v>283912048</v>
      </c>
      <c r="G76" s="96">
        <v>45816</v>
      </c>
      <c r="H76" s="49">
        <v>655000</v>
      </c>
      <c r="I76" s="47">
        <f t="shared" si="6"/>
        <v>0</v>
      </c>
      <c r="J76" s="45">
        <f t="shared" si="7"/>
        <v>0</v>
      </c>
      <c r="K76" s="47">
        <f t="shared" si="8"/>
        <v>0</v>
      </c>
      <c r="L76" s="47">
        <f t="shared" si="9"/>
        <v>655000</v>
      </c>
      <c r="M76" s="85" t="s">
        <v>1075</v>
      </c>
      <c r="N76" s="45" t="str">
        <f>IFERROR(VLOOKUP(B76, Store!$A:$C, 3, FALSE), "")</f>
        <v>Thành phố Hồ Chí Minh</v>
      </c>
      <c r="O76" s="48" t="s">
        <v>775</v>
      </c>
      <c r="P76" s="35" t="s">
        <v>1132</v>
      </c>
    </row>
    <row r="77" spans="1:16" x14ac:dyDescent="0.35">
      <c r="A77" s="50" t="s">
        <v>875</v>
      </c>
      <c r="B77" s="50" t="s">
        <v>226</v>
      </c>
      <c r="C77" s="45" t="s">
        <v>376</v>
      </c>
      <c r="D77" s="50" t="s">
        <v>315</v>
      </c>
      <c r="E77" s="50" t="s">
        <v>48</v>
      </c>
      <c r="F77" s="50">
        <v>937581206</v>
      </c>
      <c r="G77" s="96">
        <v>45817</v>
      </c>
      <c r="H77" s="51">
        <v>1030000</v>
      </c>
      <c r="I77" s="47">
        <f t="shared" si="6"/>
        <v>0</v>
      </c>
      <c r="J77" s="45">
        <f t="shared" si="7"/>
        <v>0</v>
      </c>
      <c r="K77" s="47">
        <f t="shared" si="8"/>
        <v>0</v>
      </c>
      <c r="L77" s="47">
        <f t="shared" si="9"/>
        <v>1030000</v>
      </c>
      <c r="M77" s="85" t="s">
        <v>1083</v>
      </c>
      <c r="N77" s="45" t="str">
        <f>IFERROR(VLOOKUP(B77, Store!$A:$C, 3, FALSE), "")</f>
        <v>Thành phố Hồ Chí Minh</v>
      </c>
      <c r="O77" s="50" t="s">
        <v>775</v>
      </c>
      <c r="P77" s="35" t="s">
        <v>1132</v>
      </c>
    </row>
    <row r="78" spans="1:16" x14ac:dyDescent="0.35">
      <c r="A78" s="50" t="s">
        <v>876</v>
      </c>
      <c r="B78" s="50" t="s">
        <v>222</v>
      </c>
      <c r="C78" s="45" t="s">
        <v>385</v>
      </c>
      <c r="D78" s="50" t="s">
        <v>326</v>
      </c>
      <c r="E78" s="50" t="s">
        <v>36</v>
      </c>
      <c r="F78" s="50">
        <v>936872041</v>
      </c>
      <c r="G78" s="96">
        <v>45817</v>
      </c>
      <c r="H78" s="51">
        <v>875000</v>
      </c>
      <c r="I78" s="47">
        <f t="shared" si="6"/>
        <v>0</v>
      </c>
      <c r="J78" s="45">
        <f t="shared" si="7"/>
        <v>0</v>
      </c>
      <c r="K78" s="47">
        <f t="shared" si="8"/>
        <v>0</v>
      </c>
      <c r="L78" s="47">
        <f t="shared" si="9"/>
        <v>875000</v>
      </c>
      <c r="M78" s="85" t="s">
        <v>165</v>
      </c>
      <c r="N78" s="45" t="str">
        <f>IFERROR(VLOOKUP(B78, Store!$A:$C, 3, FALSE), "")</f>
        <v>Thành phố Hà Nội</v>
      </c>
      <c r="O78" s="50" t="s">
        <v>775</v>
      </c>
      <c r="P78" s="35" t="s">
        <v>1132</v>
      </c>
    </row>
    <row r="79" spans="1:16" x14ac:dyDescent="0.35">
      <c r="A79" s="50" t="s">
        <v>877</v>
      </c>
      <c r="B79" s="50" t="s">
        <v>225</v>
      </c>
      <c r="C79" s="45" t="s">
        <v>394</v>
      </c>
      <c r="D79" s="50" t="s">
        <v>337</v>
      </c>
      <c r="E79" s="50" t="s">
        <v>118</v>
      </c>
      <c r="F79" s="50">
        <v>987653412</v>
      </c>
      <c r="G79" s="96">
        <v>45817</v>
      </c>
      <c r="H79" s="51">
        <v>880000</v>
      </c>
      <c r="I79" s="47">
        <f t="shared" si="6"/>
        <v>0</v>
      </c>
      <c r="J79" s="45">
        <f t="shared" si="7"/>
        <v>0</v>
      </c>
      <c r="K79" s="47">
        <f t="shared" si="8"/>
        <v>0</v>
      </c>
      <c r="L79" s="47">
        <f t="shared" si="9"/>
        <v>880000</v>
      </c>
      <c r="M79" s="85" t="s">
        <v>1084</v>
      </c>
      <c r="N79" s="45" t="str">
        <f>IFERROR(VLOOKUP(B79, Store!$A:$C, 3, FALSE), "")</f>
        <v>Thành phố Đà Nẵng</v>
      </c>
      <c r="O79" s="50" t="s">
        <v>775</v>
      </c>
      <c r="P79" s="35" t="s">
        <v>1132</v>
      </c>
    </row>
    <row r="80" spans="1:16" x14ac:dyDescent="0.35">
      <c r="A80" s="50" t="s">
        <v>878</v>
      </c>
      <c r="B80" s="50" t="s">
        <v>222</v>
      </c>
      <c r="C80" s="45" t="s">
        <v>383</v>
      </c>
      <c r="D80" s="50" t="s">
        <v>348</v>
      </c>
      <c r="E80" s="50" t="s">
        <v>128</v>
      </c>
      <c r="F80" s="50">
        <v>839201476</v>
      </c>
      <c r="G80" s="96">
        <v>45817</v>
      </c>
      <c r="H80" s="51">
        <v>1140000</v>
      </c>
      <c r="I80" s="47">
        <f t="shared" si="6"/>
        <v>0</v>
      </c>
      <c r="J80" s="45">
        <f t="shared" si="7"/>
        <v>0</v>
      </c>
      <c r="K80" s="47">
        <f t="shared" si="8"/>
        <v>0</v>
      </c>
      <c r="L80" s="47">
        <f t="shared" si="9"/>
        <v>1140000</v>
      </c>
      <c r="M80" s="85" t="s">
        <v>1085</v>
      </c>
      <c r="N80" s="45" t="str">
        <f>IFERROR(VLOOKUP(B80, Store!$A:$C, 3, FALSE), "")</f>
        <v>Thành phố Hà Nội</v>
      </c>
      <c r="O80" s="50" t="s">
        <v>775</v>
      </c>
      <c r="P80" s="35" t="s">
        <v>1132</v>
      </c>
    </row>
    <row r="81" spans="1:16" x14ac:dyDescent="0.35">
      <c r="A81" s="50" t="s">
        <v>879</v>
      </c>
      <c r="B81" s="50" t="s">
        <v>225</v>
      </c>
      <c r="C81" s="45" t="s">
        <v>391</v>
      </c>
      <c r="D81" s="50" t="s">
        <v>316</v>
      </c>
      <c r="E81" s="50" t="s">
        <v>49</v>
      </c>
      <c r="F81" s="50">
        <v>869014328</v>
      </c>
      <c r="G81" s="96">
        <v>45817</v>
      </c>
      <c r="H81" s="51">
        <v>655000</v>
      </c>
      <c r="I81" s="47">
        <f t="shared" si="6"/>
        <v>0</v>
      </c>
      <c r="J81" s="45">
        <f t="shared" si="7"/>
        <v>0</v>
      </c>
      <c r="K81" s="47">
        <f t="shared" si="8"/>
        <v>0</v>
      </c>
      <c r="L81" s="47">
        <f t="shared" si="9"/>
        <v>655000</v>
      </c>
      <c r="M81" s="85" t="s">
        <v>1080</v>
      </c>
      <c r="N81" s="45" t="str">
        <f>IFERROR(VLOOKUP(B81, Store!$A:$C, 3, FALSE), "")</f>
        <v>Thành phố Đà Nẵng</v>
      </c>
      <c r="O81" s="50" t="s">
        <v>775</v>
      </c>
      <c r="P81" s="35" t="s">
        <v>1132</v>
      </c>
    </row>
    <row r="82" spans="1:16" x14ac:dyDescent="0.35">
      <c r="A82" s="50" t="s">
        <v>880</v>
      </c>
      <c r="B82" s="50" t="s">
        <v>226</v>
      </c>
      <c r="C82" s="45" t="s">
        <v>382</v>
      </c>
      <c r="D82" s="50" t="s">
        <v>309</v>
      </c>
      <c r="E82" s="50" t="s">
        <v>35</v>
      </c>
      <c r="F82" s="50">
        <v>843157092</v>
      </c>
      <c r="G82" s="96">
        <v>45848</v>
      </c>
      <c r="H82" s="51">
        <v>1030000</v>
      </c>
      <c r="I82" s="47">
        <f t="shared" si="6"/>
        <v>0</v>
      </c>
      <c r="J82" s="45">
        <f t="shared" si="7"/>
        <v>0</v>
      </c>
      <c r="K82" s="47">
        <f t="shared" si="8"/>
        <v>0</v>
      </c>
      <c r="L82" s="47">
        <f t="shared" si="9"/>
        <v>1030000</v>
      </c>
      <c r="M82" s="85" t="s">
        <v>213</v>
      </c>
      <c r="N82" s="45" t="str">
        <f>IFERROR(VLOOKUP(B82, Store!$A:$C, 3, FALSE), "")</f>
        <v>Thành phố Hồ Chí Minh</v>
      </c>
      <c r="O82" s="50" t="s">
        <v>775</v>
      </c>
      <c r="P82" s="35" t="s">
        <v>1132</v>
      </c>
    </row>
    <row r="83" spans="1:16" ht="20" customHeight="1" x14ac:dyDescent="0.35">
      <c r="A83" s="50" t="s">
        <v>881</v>
      </c>
      <c r="B83" s="50" t="s">
        <v>220</v>
      </c>
      <c r="C83" s="45" t="s">
        <v>376</v>
      </c>
      <c r="D83" s="50" t="s">
        <v>320</v>
      </c>
      <c r="E83" s="50" t="s">
        <v>53</v>
      </c>
      <c r="F83" s="50">
        <v>920475832</v>
      </c>
      <c r="G83" s="96">
        <v>45849</v>
      </c>
      <c r="H83" s="51">
        <v>875000</v>
      </c>
      <c r="I83" s="47">
        <f t="shared" si="6"/>
        <v>0</v>
      </c>
      <c r="J83" s="45">
        <f t="shared" si="7"/>
        <v>0</v>
      </c>
      <c r="K83" s="47">
        <f t="shared" si="8"/>
        <v>0</v>
      </c>
      <c r="L83" s="47">
        <f t="shared" si="9"/>
        <v>875000</v>
      </c>
      <c r="M83" s="86" t="s">
        <v>1041</v>
      </c>
      <c r="N83" s="45" t="str">
        <f>IFERROR(VLOOKUP(B83, Store!$A:$C, 3, FALSE), "")</f>
        <v>Thành phố Hồ Chí Minh</v>
      </c>
      <c r="O83" s="50" t="s">
        <v>775</v>
      </c>
      <c r="P83" s="35" t="s">
        <v>1132</v>
      </c>
    </row>
    <row r="84" spans="1:16" x14ac:dyDescent="0.35">
      <c r="A84" s="50" t="s">
        <v>882</v>
      </c>
      <c r="B84" s="50" t="s">
        <v>225</v>
      </c>
      <c r="C84" s="45" t="s">
        <v>394</v>
      </c>
      <c r="D84" s="50" t="s">
        <v>331</v>
      </c>
      <c r="E84" s="50" t="s">
        <v>112</v>
      </c>
      <c r="F84" s="50">
        <v>968312045</v>
      </c>
      <c r="G84" s="96">
        <v>45849</v>
      </c>
      <c r="H84" s="51">
        <v>880000</v>
      </c>
      <c r="I84" s="47">
        <f t="shared" si="6"/>
        <v>0</v>
      </c>
      <c r="J84" s="45">
        <f t="shared" si="7"/>
        <v>0</v>
      </c>
      <c r="K84" s="47">
        <f t="shared" si="8"/>
        <v>0</v>
      </c>
      <c r="L84" s="47">
        <f t="shared" si="9"/>
        <v>880000</v>
      </c>
      <c r="M84" s="85" t="s">
        <v>1053</v>
      </c>
      <c r="N84" s="45" t="str">
        <f>IFERROR(VLOOKUP(B84, Store!$A:$C, 3, FALSE), "")</f>
        <v>Thành phố Đà Nẵng</v>
      </c>
      <c r="O84" s="50" t="s">
        <v>775</v>
      </c>
      <c r="P84" s="35" t="s">
        <v>1132</v>
      </c>
    </row>
    <row r="85" spans="1:16" x14ac:dyDescent="0.35">
      <c r="A85" s="50" t="s">
        <v>883</v>
      </c>
      <c r="B85" s="50" t="s">
        <v>225</v>
      </c>
      <c r="C85" s="45" t="s">
        <v>390</v>
      </c>
      <c r="D85" s="50" t="s">
        <v>342</v>
      </c>
      <c r="E85" s="50" t="s">
        <v>122</v>
      </c>
      <c r="F85" s="50">
        <v>918273645</v>
      </c>
      <c r="G85" s="96">
        <v>45849</v>
      </c>
      <c r="H85" s="51">
        <v>1040000</v>
      </c>
      <c r="I85" s="47">
        <f t="shared" si="6"/>
        <v>0</v>
      </c>
      <c r="J85" s="45">
        <f t="shared" si="7"/>
        <v>0</v>
      </c>
      <c r="K85" s="47">
        <f t="shared" si="8"/>
        <v>0</v>
      </c>
      <c r="L85" s="47">
        <f t="shared" si="9"/>
        <v>1040000</v>
      </c>
      <c r="M85" s="85" t="s">
        <v>1052</v>
      </c>
      <c r="N85" s="45" t="str">
        <f>IFERROR(VLOOKUP(B85, Store!$A:$C, 3, FALSE), "")</f>
        <v>Thành phố Đà Nẵng</v>
      </c>
      <c r="O85" s="50" t="s">
        <v>775</v>
      </c>
      <c r="P85" s="35" t="s">
        <v>1132</v>
      </c>
    </row>
    <row r="86" spans="1:16" x14ac:dyDescent="0.35">
      <c r="A86" s="50" t="s">
        <v>884</v>
      </c>
      <c r="B86" s="50" t="s">
        <v>227</v>
      </c>
      <c r="C86" s="45" t="s">
        <v>985</v>
      </c>
      <c r="D86" s="50" t="s">
        <v>353</v>
      </c>
      <c r="E86" s="50" t="s">
        <v>155</v>
      </c>
      <c r="F86" s="50">
        <v>261735712</v>
      </c>
      <c r="G86" s="96">
        <v>45849</v>
      </c>
      <c r="H86" s="51">
        <v>655000</v>
      </c>
      <c r="I86" s="47">
        <f t="shared" si="6"/>
        <v>0</v>
      </c>
      <c r="J86" s="45">
        <f t="shared" si="7"/>
        <v>0</v>
      </c>
      <c r="K86" s="47">
        <f t="shared" si="8"/>
        <v>0</v>
      </c>
      <c r="L86" s="47">
        <f t="shared" si="9"/>
        <v>655000</v>
      </c>
      <c r="M86" s="85" t="s">
        <v>1071</v>
      </c>
      <c r="N86" s="45" t="str">
        <f>IFERROR(VLOOKUP(B86, Store!$A:$C, 3, FALSE), "")</f>
        <v>Thành phố Hải Phòng</v>
      </c>
      <c r="O86" s="50" t="s">
        <v>775</v>
      </c>
      <c r="P86" s="35"/>
    </row>
    <row r="87" spans="1:16" x14ac:dyDescent="0.35">
      <c r="A87" s="50" t="s">
        <v>885</v>
      </c>
      <c r="B87" s="50" t="s">
        <v>226</v>
      </c>
      <c r="C87" s="45" t="s">
        <v>377</v>
      </c>
      <c r="D87" s="50" t="s">
        <v>312</v>
      </c>
      <c r="E87" s="50" t="s">
        <v>45</v>
      </c>
      <c r="F87" s="50">
        <v>813496725</v>
      </c>
      <c r="G87" s="96">
        <v>45849</v>
      </c>
      <c r="H87" s="51">
        <f>1030000+1060000</f>
        <v>2090000</v>
      </c>
      <c r="I87" s="47">
        <f t="shared" si="6"/>
        <v>0</v>
      </c>
      <c r="J87" s="45">
        <f t="shared" si="7"/>
        <v>0</v>
      </c>
      <c r="K87" s="47">
        <f t="shared" si="8"/>
        <v>0</v>
      </c>
      <c r="L87" s="47">
        <f t="shared" si="9"/>
        <v>2090000</v>
      </c>
      <c r="M87" s="85" t="s">
        <v>1086</v>
      </c>
      <c r="N87" s="45" t="str">
        <f>IFERROR(VLOOKUP(B87, Store!$A:$C, 3, FALSE), "")</f>
        <v>Thành phố Hồ Chí Minh</v>
      </c>
      <c r="O87" s="50" t="s">
        <v>775</v>
      </c>
      <c r="P87" s="35"/>
    </row>
    <row r="88" spans="1:16" x14ac:dyDescent="0.35">
      <c r="A88" s="50" t="s">
        <v>887</v>
      </c>
      <c r="B88" s="50" t="s">
        <v>220</v>
      </c>
      <c r="C88" s="45" t="s">
        <v>378</v>
      </c>
      <c r="D88" s="50" t="s">
        <v>295</v>
      </c>
      <c r="E88" s="50" t="s">
        <v>1</v>
      </c>
      <c r="F88" s="50">
        <v>962735841</v>
      </c>
      <c r="G88" s="96">
        <v>45849</v>
      </c>
      <c r="H88" s="51">
        <v>235000</v>
      </c>
      <c r="I88" s="47">
        <f t="shared" si="6"/>
        <v>0</v>
      </c>
      <c r="J88" s="45">
        <f t="shared" si="7"/>
        <v>0</v>
      </c>
      <c r="K88" s="47">
        <f t="shared" si="8"/>
        <v>0</v>
      </c>
      <c r="L88" s="47">
        <f t="shared" si="9"/>
        <v>235000</v>
      </c>
      <c r="M88" s="85" t="s">
        <v>1083</v>
      </c>
      <c r="N88" s="45" t="str">
        <f>IFERROR(VLOOKUP(B88, Store!$A:$C, 3, FALSE), "")</f>
        <v>Thành phố Hồ Chí Minh</v>
      </c>
      <c r="O88" s="50" t="s">
        <v>775</v>
      </c>
      <c r="P88" s="35"/>
    </row>
    <row r="89" spans="1:16" x14ac:dyDescent="0.35">
      <c r="A89" s="50" t="s">
        <v>888</v>
      </c>
      <c r="B89" s="50" t="s">
        <v>226</v>
      </c>
      <c r="C89" s="45" t="s">
        <v>398</v>
      </c>
      <c r="D89" s="50" t="s">
        <v>296</v>
      </c>
      <c r="E89" s="50" t="s">
        <v>4</v>
      </c>
      <c r="F89" s="50">
        <v>283776251</v>
      </c>
      <c r="G89" s="96">
        <v>45849</v>
      </c>
      <c r="H89" s="51">
        <v>230000</v>
      </c>
      <c r="I89" s="47">
        <f t="shared" si="6"/>
        <v>0</v>
      </c>
      <c r="J89" s="45">
        <f t="shared" si="7"/>
        <v>0</v>
      </c>
      <c r="K89" s="47">
        <f t="shared" si="8"/>
        <v>0</v>
      </c>
      <c r="L89" s="47">
        <f t="shared" si="9"/>
        <v>230000</v>
      </c>
      <c r="M89" s="85" t="s">
        <v>166</v>
      </c>
      <c r="N89" s="45" t="str">
        <f>IFERROR(VLOOKUP(B89, Store!$A:$C, 3, FALSE), "")</f>
        <v>Thành phố Hồ Chí Minh</v>
      </c>
      <c r="O89" s="50" t="s">
        <v>775</v>
      </c>
      <c r="P89" s="35" t="s">
        <v>1131</v>
      </c>
    </row>
    <row r="90" spans="1:16" x14ac:dyDescent="0.35">
      <c r="A90" s="50" t="s">
        <v>889</v>
      </c>
      <c r="B90" s="50" t="s">
        <v>227</v>
      </c>
      <c r="C90" s="45" t="s">
        <v>384</v>
      </c>
      <c r="D90" s="50" t="s">
        <v>297</v>
      </c>
      <c r="E90" s="50" t="s">
        <v>16</v>
      </c>
      <c r="F90" s="50">
        <v>862735791</v>
      </c>
      <c r="G90" s="96">
        <v>45849</v>
      </c>
      <c r="H90" s="51">
        <v>230000</v>
      </c>
      <c r="I90" s="47">
        <f t="shared" si="6"/>
        <v>0</v>
      </c>
      <c r="J90" s="45">
        <f t="shared" si="7"/>
        <v>0</v>
      </c>
      <c r="K90" s="47">
        <f t="shared" si="8"/>
        <v>0</v>
      </c>
      <c r="L90" s="47">
        <f t="shared" si="9"/>
        <v>230000</v>
      </c>
      <c r="M90" s="85" t="s">
        <v>1092</v>
      </c>
      <c r="N90" s="45" t="s">
        <v>195</v>
      </c>
      <c r="O90" s="50" t="s">
        <v>775</v>
      </c>
      <c r="P90" s="35" t="s">
        <v>1131</v>
      </c>
    </row>
    <row r="91" spans="1:16" x14ac:dyDescent="0.35">
      <c r="A91" s="50" t="s">
        <v>890</v>
      </c>
      <c r="B91" s="50" t="s">
        <v>225</v>
      </c>
      <c r="C91" s="45" t="s">
        <v>390</v>
      </c>
      <c r="D91" s="50" t="s">
        <v>298</v>
      </c>
      <c r="E91" s="50" t="s">
        <v>22</v>
      </c>
      <c r="F91" s="50">
        <v>962871435</v>
      </c>
      <c r="G91" s="96">
        <v>45849</v>
      </c>
      <c r="H91" s="51">
        <v>320000</v>
      </c>
      <c r="I91" s="47">
        <f t="shared" si="6"/>
        <v>0</v>
      </c>
      <c r="J91" s="45">
        <f t="shared" si="7"/>
        <v>0</v>
      </c>
      <c r="K91" s="47">
        <f t="shared" si="8"/>
        <v>0</v>
      </c>
      <c r="L91" s="47">
        <f t="shared" si="9"/>
        <v>320000</v>
      </c>
      <c r="M91" s="85" t="s">
        <v>1054</v>
      </c>
      <c r="N91" s="45" t="str">
        <f>IFERROR(VLOOKUP(B91, Store!$A:$C, 3, FALSE), "")</f>
        <v>Thành phố Đà Nẵng</v>
      </c>
      <c r="O91" s="50" t="s">
        <v>775</v>
      </c>
      <c r="P91" s="35" t="s">
        <v>1131</v>
      </c>
    </row>
    <row r="92" spans="1:16" x14ac:dyDescent="0.35">
      <c r="A92" s="50" t="s">
        <v>891</v>
      </c>
      <c r="B92" s="50" t="s">
        <v>226</v>
      </c>
      <c r="C92" s="45" t="s">
        <v>398</v>
      </c>
      <c r="D92" s="50" t="s">
        <v>299</v>
      </c>
      <c r="E92" s="50" t="s">
        <v>23</v>
      </c>
      <c r="F92" s="50">
        <v>829346501</v>
      </c>
      <c r="G92" s="96">
        <v>45849</v>
      </c>
      <c r="H92" s="51">
        <v>200000</v>
      </c>
      <c r="I92" s="47">
        <f t="shared" si="6"/>
        <v>0</v>
      </c>
      <c r="J92" s="45">
        <f t="shared" si="7"/>
        <v>0</v>
      </c>
      <c r="K92" s="47">
        <f t="shared" si="8"/>
        <v>0</v>
      </c>
      <c r="L92" s="47">
        <f t="shared" si="9"/>
        <v>200000</v>
      </c>
      <c r="M92" s="85" t="s">
        <v>1087</v>
      </c>
      <c r="N92" s="45" t="str">
        <f>IFERROR(VLOOKUP(B92, Store!$A:$C, 3, FALSE), "")</f>
        <v>Thành phố Hồ Chí Minh</v>
      </c>
      <c r="O92" s="50" t="s">
        <v>775</v>
      </c>
      <c r="P92" s="35" t="s">
        <v>1131</v>
      </c>
    </row>
    <row r="93" spans="1:16" x14ac:dyDescent="0.35">
      <c r="A93" s="50" t="s">
        <v>892</v>
      </c>
      <c r="B93" s="50" t="s">
        <v>226</v>
      </c>
      <c r="C93" s="45" t="s">
        <v>382</v>
      </c>
      <c r="D93" s="50" t="s">
        <v>300</v>
      </c>
      <c r="E93" s="50" t="s">
        <v>24</v>
      </c>
      <c r="F93" s="50">
        <v>794562380</v>
      </c>
      <c r="G93" s="96">
        <v>45820</v>
      </c>
      <c r="H93" s="51">
        <v>230000</v>
      </c>
      <c r="I93" s="47">
        <f t="shared" si="6"/>
        <v>0</v>
      </c>
      <c r="J93" s="45">
        <f t="shared" si="7"/>
        <v>0</v>
      </c>
      <c r="K93" s="47">
        <f t="shared" si="8"/>
        <v>0</v>
      </c>
      <c r="L93" s="47">
        <f t="shared" si="9"/>
        <v>230000</v>
      </c>
      <c r="M93" s="85" t="s">
        <v>167</v>
      </c>
      <c r="N93" s="45" t="str">
        <f>IFERROR(VLOOKUP(B93, Store!$A:$C, 3, FALSE), "")</f>
        <v>Thành phố Hồ Chí Minh</v>
      </c>
      <c r="O93" s="50" t="s">
        <v>775</v>
      </c>
      <c r="P93" s="35" t="s">
        <v>1131</v>
      </c>
    </row>
    <row r="94" spans="1:16" x14ac:dyDescent="0.35">
      <c r="A94" s="50" t="s">
        <v>893</v>
      </c>
      <c r="B94" s="50" t="s">
        <v>220</v>
      </c>
      <c r="C94" s="45" t="s">
        <v>379</v>
      </c>
      <c r="D94" s="50" t="s">
        <v>301</v>
      </c>
      <c r="E94" s="50" t="s">
        <v>25</v>
      </c>
      <c r="F94" s="50">
        <v>917823409</v>
      </c>
      <c r="G94" s="96">
        <v>45820</v>
      </c>
      <c r="H94" s="51">
        <v>235000</v>
      </c>
      <c r="I94" s="47">
        <f t="shared" si="6"/>
        <v>0</v>
      </c>
      <c r="J94" s="45">
        <f t="shared" si="7"/>
        <v>0</v>
      </c>
      <c r="K94" s="47">
        <f t="shared" si="8"/>
        <v>0</v>
      </c>
      <c r="L94" s="47">
        <f t="shared" si="9"/>
        <v>235000</v>
      </c>
      <c r="M94" s="86" t="s">
        <v>1041</v>
      </c>
      <c r="N94" s="45" t="str">
        <f>IFERROR(VLOOKUP(B94, Store!$A:$C, 3, FALSE), "")</f>
        <v>Thành phố Hồ Chí Minh</v>
      </c>
      <c r="O94" s="50" t="s">
        <v>775</v>
      </c>
      <c r="P94" s="35" t="s">
        <v>1131</v>
      </c>
    </row>
    <row r="95" spans="1:16" x14ac:dyDescent="0.35">
      <c r="A95" s="50" t="s">
        <v>894</v>
      </c>
      <c r="B95" s="50" t="s">
        <v>222</v>
      </c>
      <c r="C95" s="45" t="s">
        <v>383</v>
      </c>
      <c r="D95" s="50" t="s">
        <v>302</v>
      </c>
      <c r="E95" s="50" t="s">
        <v>26</v>
      </c>
      <c r="F95" s="50">
        <v>832149760</v>
      </c>
      <c r="G95" s="96">
        <v>45820</v>
      </c>
      <c r="H95" s="51">
        <v>320000</v>
      </c>
      <c r="I95" s="47">
        <f t="shared" si="6"/>
        <v>0</v>
      </c>
      <c r="J95" s="45">
        <f t="shared" si="7"/>
        <v>0</v>
      </c>
      <c r="K95" s="47">
        <f t="shared" si="8"/>
        <v>0</v>
      </c>
      <c r="L95" s="47">
        <f t="shared" si="9"/>
        <v>320000</v>
      </c>
      <c r="M95" s="85" t="s">
        <v>165</v>
      </c>
      <c r="N95" s="45" t="str">
        <f>IFERROR(VLOOKUP(B95, Store!$A:$C, 3, FALSE), "")</f>
        <v>Thành phố Hà Nội</v>
      </c>
      <c r="O95" s="50" t="s">
        <v>775</v>
      </c>
      <c r="P95" s="35" t="s">
        <v>1131</v>
      </c>
    </row>
    <row r="96" spans="1:16" x14ac:dyDescent="0.35">
      <c r="A96" s="50" t="s">
        <v>895</v>
      </c>
      <c r="B96" s="50" t="s">
        <v>222</v>
      </c>
      <c r="C96" s="45" t="s">
        <v>384</v>
      </c>
      <c r="D96" s="50" t="s">
        <v>303</v>
      </c>
      <c r="E96" s="50" t="s">
        <v>27</v>
      </c>
      <c r="F96" s="50">
        <v>908231567</v>
      </c>
      <c r="G96" s="96">
        <v>45820</v>
      </c>
      <c r="H96" s="51">
        <v>235000</v>
      </c>
      <c r="I96" s="47">
        <f t="shared" si="6"/>
        <v>0</v>
      </c>
      <c r="J96" s="45">
        <f t="shared" si="7"/>
        <v>0</v>
      </c>
      <c r="K96" s="47">
        <f t="shared" si="8"/>
        <v>0</v>
      </c>
      <c r="L96" s="47">
        <f t="shared" si="9"/>
        <v>235000</v>
      </c>
      <c r="M96" s="85" t="s">
        <v>171</v>
      </c>
      <c r="N96" s="45" t="str">
        <f>IFERROR(VLOOKUP(B96, Store!$A:$C, 3, FALSE), "")</f>
        <v>Thành phố Hà Nội</v>
      </c>
      <c r="O96" s="50" t="s">
        <v>775</v>
      </c>
      <c r="P96" s="35" t="s">
        <v>1131</v>
      </c>
    </row>
    <row r="97" spans="1:16" x14ac:dyDescent="0.35">
      <c r="A97" s="50" t="s">
        <v>896</v>
      </c>
      <c r="B97" s="50" t="s">
        <v>225</v>
      </c>
      <c r="C97" s="45" t="s">
        <v>393</v>
      </c>
      <c r="D97" s="50" t="s">
        <v>306</v>
      </c>
      <c r="E97" s="50" t="s">
        <v>42</v>
      </c>
      <c r="F97" s="50">
        <v>875204319</v>
      </c>
      <c r="G97" s="96">
        <v>45820</v>
      </c>
      <c r="H97" s="51">
        <v>250000</v>
      </c>
      <c r="I97" s="47">
        <f t="shared" si="6"/>
        <v>0</v>
      </c>
      <c r="J97" s="45">
        <f t="shared" si="7"/>
        <v>0</v>
      </c>
      <c r="K97" s="47">
        <f t="shared" si="8"/>
        <v>0</v>
      </c>
      <c r="L97" s="47">
        <f t="shared" si="9"/>
        <v>250000</v>
      </c>
      <c r="M97" s="85" t="s">
        <v>1055</v>
      </c>
      <c r="N97" s="45" t="str">
        <f>IFERROR(VLOOKUP(B97, Store!$A:$C, 3, FALSE), "")</f>
        <v>Thành phố Đà Nẵng</v>
      </c>
      <c r="O97" s="50" t="s">
        <v>775</v>
      </c>
      <c r="P97" s="35"/>
    </row>
    <row r="98" spans="1:16" x14ac:dyDescent="0.35">
      <c r="A98" s="50" t="s">
        <v>897</v>
      </c>
      <c r="B98" s="50" t="s">
        <v>227</v>
      </c>
      <c r="C98" s="45" t="s">
        <v>399</v>
      </c>
      <c r="D98" s="50" t="s">
        <v>307</v>
      </c>
      <c r="E98" s="50" t="s">
        <v>33</v>
      </c>
      <c r="F98" s="50">
        <v>971048362</v>
      </c>
      <c r="G98" s="96">
        <v>45820</v>
      </c>
      <c r="H98" s="51">
        <v>335000</v>
      </c>
      <c r="I98" s="47">
        <f t="shared" ref="I98:I129" si="10">IF(AND(G98=DATE(2025,7,7), H98&gt;=1000000), "DIS_003A",
   IF(AND(G98=DATE(2025,7,15), H98&gt;=1000000), "DIS_003B", 0))</f>
        <v>0</v>
      </c>
      <c r="J98" s="45">
        <f t="shared" ref="J98:J132" si="11">IF(AND(OR(G98=DATE(2025,7,7), G98=DATE(2025,7,15)), H98 &gt;= 1000000), 20, 0)</f>
        <v>0</v>
      </c>
      <c r="K98" s="47">
        <f t="shared" si="8"/>
        <v>0</v>
      </c>
      <c r="L98" s="47">
        <f t="shared" si="9"/>
        <v>335000</v>
      </c>
      <c r="M98" s="85" t="s">
        <v>1070</v>
      </c>
      <c r="N98" s="45" t="str">
        <f>IFERROR(VLOOKUP(B98, Store!$A:$C, 3, FALSE), "")</f>
        <v>Thành phố Hải Phòng</v>
      </c>
      <c r="O98" s="50" t="s">
        <v>775</v>
      </c>
      <c r="P98" s="35"/>
    </row>
    <row r="99" spans="1:16" x14ac:dyDescent="0.35">
      <c r="A99" s="50" t="s">
        <v>898</v>
      </c>
      <c r="B99" s="50" t="s">
        <v>227</v>
      </c>
      <c r="C99" s="45" t="s">
        <v>984</v>
      </c>
      <c r="D99" s="50" t="s">
        <v>308</v>
      </c>
      <c r="E99" s="50" t="s">
        <v>34</v>
      </c>
      <c r="F99" s="50">
        <v>928457130</v>
      </c>
      <c r="G99" s="96">
        <v>45820</v>
      </c>
      <c r="H99" s="51">
        <v>200000</v>
      </c>
      <c r="I99" s="47">
        <f t="shared" si="10"/>
        <v>0</v>
      </c>
      <c r="J99" s="45">
        <f t="shared" si="11"/>
        <v>0</v>
      </c>
      <c r="K99" s="47">
        <f t="shared" si="8"/>
        <v>0</v>
      </c>
      <c r="L99" s="47">
        <f t="shared" si="9"/>
        <v>200000</v>
      </c>
      <c r="M99" s="85" t="s">
        <v>1088</v>
      </c>
      <c r="N99" s="45" t="str">
        <f>IFERROR(VLOOKUP(B99, Store!$A:$C, 3, FALSE), "")</f>
        <v>Thành phố Hải Phòng</v>
      </c>
      <c r="O99" s="50" t="s">
        <v>775</v>
      </c>
      <c r="P99" s="35"/>
    </row>
    <row r="100" spans="1:16" x14ac:dyDescent="0.35">
      <c r="A100" s="50" t="s">
        <v>899</v>
      </c>
      <c r="B100" s="50" t="s">
        <v>226</v>
      </c>
      <c r="C100" s="45" t="s">
        <v>379</v>
      </c>
      <c r="D100" s="50" t="s">
        <v>310</v>
      </c>
      <c r="E100" s="50" t="s">
        <v>43</v>
      </c>
      <c r="F100" s="50">
        <v>298361470</v>
      </c>
      <c r="G100" s="96">
        <v>45820</v>
      </c>
      <c r="H100" s="51">
        <v>320000</v>
      </c>
      <c r="I100" s="47">
        <f t="shared" si="10"/>
        <v>0</v>
      </c>
      <c r="J100" s="45">
        <f t="shared" si="11"/>
        <v>0</v>
      </c>
      <c r="K100" s="47">
        <f t="shared" si="8"/>
        <v>0</v>
      </c>
      <c r="L100" s="47">
        <f t="shared" si="9"/>
        <v>320000</v>
      </c>
      <c r="M100" s="85" t="s">
        <v>1089</v>
      </c>
      <c r="N100" s="45" t="str">
        <f>IFERROR(VLOOKUP(B100, Store!$A:$C, 3, FALSE), "")</f>
        <v>Thành phố Hồ Chí Minh</v>
      </c>
      <c r="O100" s="50" t="s">
        <v>775</v>
      </c>
      <c r="P100" s="35"/>
    </row>
    <row r="101" spans="1:16" x14ac:dyDescent="0.35">
      <c r="A101" s="50" t="s">
        <v>900</v>
      </c>
      <c r="B101" s="50" t="s">
        <v>222</v>
      </c>
      <c r="C101" s="45" t="s">
        <v>383</v>
      </c>
      <c r="D101" s="50" t="s">
        <v>311</v>
      </c>
      <c r="E101" s="50" t="s">
        <v>44</v>
      </c>
      <c r="F101" s="50">
        <v>897402513</v>
      </c>
      <c r="G101" s="96">
        <v>45820</v>
      </c>
      <c r="H101" s="51">
        <v>200000</v>
      </c>
      <c r="I101" s="47">
        <f t="shared" si="10"/>
        <v>0</v>
      </c>
      <c r="J101" s="45">
        <f t="shared" si="11"/>
        <v>0</v>
      </c>
      <c r="K101" s="47">
        <f t="shared" si="8"/>
        <v>0</v>
      </c>
      <c r="L101" s="47">
        <f t="shared" si="9"/>
        <v>200000</v>
      </c>
      <c r="M101" s="85" t="s">
        <v>1063</v>
      </c>
      <c r="N101" s="45" t="str">
        <f>IFERROR(VLOOKUP(B101, Store!$A:$C, 3, FALSE), "")</f>
        <v>Thành phố Hà Nội</v>
      </c>
      <c r="O101" s="50" t="s">
        <v>775</v>
      </c>
      <c r="P101" s="35"/>
    </row>
    <row r="102" spans="1:16" x14ac:dyDescent="0.35">
      <c r="A102" s="50" t="s">
        <v>901</v>
      </c>
      <c r="B102" s="50" t="s">
        <v>220</v>
      </c>
      <c r="C102" s="45" t="s">
        <v>398</v>
      </c>
      <c r="D102" s="50" t="s">
        <v>312</v>
      </c>
      <c r="E102" s="50" t="s">
        <v>45</v>
      </c>
      <c r="F102" s="50">
        <v>813496725</v>
      </c>
      <c r="G102" s="96">
        <v>45820</v>
      </c>
      <c r="H102" s="51">
        <v>235000</v>
      </c>
      <c r="I102" s="47">
        <f t="shared" si="10"/>
        <v>0</v>
      </c>
      <c r="J102" s="45">
        <f t="shared" si="11"/>
        <v>0</v>
      </c>
      <c r="K102" s="47">
        <f t="shared" si="8"/>
        <v>0</v>
      </c>
      <c r="L102" s="47">
        <f t="shared" si="9"/>
        <v>235000</v>
      </c>
      <c r="M102" s="85" t="s">
        <v>1090</v>
      </c>
      <c r="N102" s="45" t="str">
        <f>IFERROR(VLOOKUP(B102, Store!$A:$C, 3, FALSE), "")</f>
        <v>Thành phố Hồ Chí Minh</v>
      </c>
      <c r="O102" s="50" t="s">
        <v>775</v>
      </c>
      <c r="P102" s="35"/>
    </row>
    <row r="103" spans="1:16" x14ac:dyDescent="0.35">
      <c r="A103" s="50" t="s">
        <v>902</v>
      </c>
      <c r="B103" s="50" t="s">
        <v>222</v>
      </c>
      <c r="C103" s="45" t="s">
        <v>385</v>
      </c>
      <c r="D103" s="50" t="s">
        <v>313</v>
      </c>
      <c r="E103" s="50" t="s">
        <v>46</v>
      </c>
      <c r="F103" s="50">
        <v>904628731</v>
      </c>
      <c r="G103" s="96">
        <v>45850</v>
      </c>
      <c r="H103" s="51">
        <v>270000</v>
      </c>
      <c r="I103" s="47">
        <f t="shared" si="10"/>
        <v>0</v>
      </c>
      <c r="J103" s="45">
        <f t="shared" si="11"/>
        <v>0</v>
      </c>
      <c r="K103" s="47">
        <f t="shared" si="8"/>
        <v>0</v>
      </c>
      <c r="L103" s="47">
        <f t="shared" si="9"/>
        <v>270000</v>
      </c>
      <c r="M103" s="85" t="s">
        <v>175</v>
      </c>
      <c r="N103" s="45" t="str">
        <f>IFERROR(VLOOKUP(B103, Store!$A:$C, 3, FALSE), "")</f>
        <v>Thành phố Hà Nội</v>
      </c>
      <c r="O103" s="50" t="s">
        <v>775</v>
      </c>
      <c r="P103" s="35"/>
    </row>
    <row r="104" spans="1:16" x14ac:dyDescent="0.35">
      <c r="A104" s="50" t="s">
        <v>903</v>
      </c>
      <c r="B104" s="50" t="s">
        <v>220</v>
      </c>
      <c r="C104" s="45" t="s">
        <v>376</v>
      </c>
      <c r="D104" s="50" t="s">
        <v>314</v>
      </c>
      <c r="E104" s="50" t="s">
        <v>47</v>
      </c>
      <c r="F104" s="50">
        <v>775396842</v>
      </c>
      <c r="G104" s="96">
        <v>45850</v>
      </c>
      <c r="H104" s="51">
        <v>180000</v>
      </c>
      <c r="I104" s="47">
        <f t="shared" si="10"/>
        <v>0</v>
      </c>
      <c r="J104" s="45">
        <f t="shared" si="11"/>
        <v>0</v>
      </c>
      <c r="K104" s="47">
        <f t="shared" si="8"/>
        <v>0</v>
      </c>
      <c r="L104" s="47">
        <f t="shared" si="9"/>
        <v>180000</v>
      </c>
      <c r="M104" s="85" t="s">
        <v>176</v>
      </c>
      <c r="N104" s="45" t="str">
        <f>IFERROR(VLOOKUP(B104, Store!$A:$C, 3, FALSE), "")</f>
        <v>Thành phố Hồ Chí Minh</v>
      </c>
      <c r="O104" s="50" t="s">
        <v>775</v>
      </c>
      <c r="P104" s="35"/>
    </row>
    <row r="105" spans="1:16" x14ac:dyDescent="0.35">
      <c r="A105" s="50" t="s">
        <v>904</v>
      </c>
      <c r="B105" s="50" t="s">
        <v>226</v>
      </c>
      <c r="C105" s="45" t="s">
        <v>376</v>
      </c>
      <c r="D105" s="50" t="s">
        <v>316</v>
      </c>
      <c r="E105" s="50" t="s">
        <v>49</v>
      </c>
      <c r="F105" s="50">
        <v>869014328</v>
      </c>
      <c r="G105" s="96">
        <v>45850</v>
      </c>
      <c r="H105" s="51">
        <v>200000</v>
      </c>
      <c r="I105" s="47">
        <f t="shared" si="10"/>
        <v>0</v>
      </c>
      <c r="J105" s="45">
        <f t="shared" si="11"/>
        <v>0</v>
      </c>
      <c r="K105" s="47">
        <f t="shared" si="8"/>
        <v>0</v>
      </c>
      <c r="L105" s="47">
        <f t="shared" si="9"/>
        <v>200000</v>
      </c>
      <c r="M105" s="86" t="s">
        <v>1042</v>
      </c>
      <c r="N105" s="45" t="str">
        <f>IFERROR(VLOOKUP(B105, Store!$A:$C, 3, FALSE), "")</f>
        <v>Thành phố Hồ Chí Minh</v>
      </c>
      <c r="O105" s="50" t="s">
        <v>775</v>
      </c>
      <c r="P105" s="35"/>
    </row>
    <row r="106" spans="1:16" x14ac:dyDescent="0.35">
      <c r="A106" s="50" t="s">
        <v>905</v>
      </c>
      <c r="B106" s="50" t="s">
        <v>226</v>
      </c>
      <c r="C106" s="45" t="s">
        <v>376</v>
      </c>
      <c r="D106" s="50" t="s">
        <v>317</v>
      </c>
      <c r="E106" s="50" t="s">
        <v>50</v>
      </c>
      <c r="F106" s="50">
        <v>912435678</v>
      </c>
      <c r="G106" s="96">
        <v>45851</v>
      </c>
      <c r="H106" s="51">
        <v>235000</v>
      </c>
      <c r="I106" s="47">
        <f t="shared" si="10"/>
        <v>0</v>
      </c>
      <c r="J106" s="45">
        <f t="shared" si="11"/>
        <v>0</v>
      </c>
      <c r="K106" s="47">
        <f t="shared" si="8"/>
        <v>0</v>
      </c>
      <c r="L106" s="47">
        <f t="shared" si="9"/>
        <v>235000</v>
      </c>
      <c r="M106" s="86" t="s">
        <v>1042</v>
      </c>
      <c r="N106" s="45" t="str">
        <f>IFERROR(VLOOKUP(B106, Store!$A:$C, 3, FALSE), "")</f>
        <v>Thành phố Hồ Chí Minh</v>
      </c>
      <c r="O106" s="50" t="s">
        <v>775</v>
      </c>
      <c r="P106" s="35"/>
    </row>
    <row r="107" spans="1:16" x14ac:dyDescent="0.35">
      <c r="A107" s="50" t="s">
        <v>906</v>
      </c>
      <c r="B107" s="50" t="s">
        <v>220</v>
      </c>
      <c r="C107" s="45" t="s">
        <v>395</v>
      </c>
      <c r="D107" s="50" t="s">
        <v>318</v>
      </c>
      <c r="E107" s="50" t="s">
        <v>51</v>
      </c>
      <c r="F107" s="50">
        <v>987264309</v>
      </c>
      <c r="G107" s="96">
        <v>45851</v>
      </c>
      <c r="H107" s="51">
        <v>265000</v>
      </c>
      <c r="I107" s="47">
        <f t="shared" si="10"/>
        <v>0</v>
      </c>
      <c r="J107" s="45">
        <f t="shared" si="11"/>
        <v>0</v>
      </c>
      <c r="K107" s="47">
        <f t="shared" si="8"/>
        <v>0</v>
      </c>
      <c r="L107" s="47">
        <f t="shared" si="9"/>
        <v>265000</v>
      </c>
      <c r="M107" s="86" t="s">
        <v>1043</v>
      </c>
      <c r="N107" s="45" t="str">
        <f>IFERROR(VLOOKUP(B107, Store!$A:$C, 3, FALSE), "")</f>
        <v>Thành phố Hồ Chí Minh</v>
      </c>
      <c r="O107" s="50" t="s">
        <v>775</v>
      </c>
      <c r="P107" s="35"/>
    </row>
    <row r="108" spans="1:16" x14ac:dyDescent="0.35">
      <c r="A108" s="50" t="s">
        <v>907</v>
      </c>
      <c r="B108" s="50" t="s">
        <v>225</v>
      </c>
      <c r="C108" s="45" t="s">
        <v>393</v>
      </c>
      <c r="D108" s="50" t="s">
        <v>321</v>
      </c>
      <c r="E108" s="50" t="s">
        <v>54</v>
      </c>
      <c r="F108" s="50">
        <v>901862435</v>
      </c>
      <c r="G108" s="96">
        <v>45851</v>
      </c>
      <c r="H108" s="51">
        <v>230000</v>
      </c>
      <c r="I108" s="47">
        <f t="shared" si="10"/>
        <v>0</v>
      </c>
      <c r="J108" s="45">
        <f t="shared" si="11"/>
        <v>0</v>
      </c>
      <c r="K108" s="47">
        <f t="shared" si="8"/>
        <v>0</v>
      </c>
      <c r="L108" s="47">
        <f t="shared" si="9"/>
        <v>230000</v>
      </c>
      <c r="M108" s="85" t="s">
        <v>1055</v>
      </c>
      <c r="N108" s="45" t="str">
        <f>IFERROR(VLOOKUP(B108, Store!$A:$C, 3, FALSE), "")</f>
        <v>Thành phố Đà Nẵng</v>
      </c>
      <c r="O108" s="50" t="s">
        <v>775</v>
      </c>
      <c r="P108" s="35" t="s">
        <v>1130</v>
      </c>
    </row>
    <row r="109" spans="1:16" x14ac:dyDescent="0.35">
      <c r="A109" s="50" t="s">
        <v>908</v>
      </c>
      <c r="B109" s="50" t="s">
        <v>225</v>
      </c>
      <c r="C109" s="45" t="s">
        <v>390</v>
      </c>
      <c r="D109" s="50" t="s">
        <v>322</v>
      </c>
      <c r="E109" s="50" t="s">
        <v>55</v>
      </c>
      <c r="F109" s="50">
        <v>827349160</v>
      </c>
      <c r="G109" s="96">
        <v>45851</v>
      </c>
      <c r="H109" s="51">
        <v>180000</v>
      </c>
      <c r="I109" s="47">
        <f t="shared" si="10"/>
        <v>0</v>
      </c>
      <c r="J109" s="45">
        <f t="shared" si="11"/>
        <v>0</v>
      </c>
      <c r="K109" s="47">
        <f t="shared" si="8"/>
        <v>0</v>
      </c>
      <c r="L109" s="47">
        <f t="shared" si="9"/>
        <v>180000</v>
      </c>
      <c r="M109" s="85" t="s">
        <v>1055</v>
      </c>
      <c r="N109" s="45" t="str">
        <f>IFERROR(VLOOKUP(B109, Store!$A:$C, 3, FALSE), "")</f>
        <v>Thành phố Đà Nẵng</v>
      </c>
      <c r="O109" s="50" t="s">
        <v>775</v>
      </c>
      <c r="P109" s="35" t="s">
        <v>1130</v>
      </c>
    </row>
    <row r="110" spans="1:16" x14ac:dyDescent="0.35">
      <c r="A110" s="50" t="s">
        <v>909</v>
      </c>
      <c r="B110" s="50" t="s">
        <v>225</v>
      </c>
      <c r="C110" s="45" t="s">
        <v>391</v>
      </c>
      <c r="D110" s="50" t="s">
        <v>323</v>
      </c>
      <c r="E110" s="50" t="s">
        <v>56</v>
      </c>
      <c r="F110" s="50">
        <v>982013476</v>
      </c>
      <c r="G110" s="96">
        <v>45851</v>
      </c>
      <c r="H110" s="51">
        <v>335000</v>
      </c>
      <c r="I110" s="47">
        <f t="shared" si="10"/>
        <v>0</v>
      </c>
      <c r="J110" s="45">
        <f t="shared" si="11"/>
        <v>0</v>
      </c>
      <c r="K110" s="47">
        <f t="shared" si="8"/>
        <v>0</v>
      </c>
      <c r="L110" s="47">
        <f t="shared" si="9"/>
        <v>335000</v>
      </c>
      <c r="M110" s="85" t="s">
        <v>1055</v>
      </c>
      <c r="N110" s="45" t="str">
        <f>IFERROR(VLOOKUP(B110, Store!$A:$C, 3, FALSE), "")</f>
        <v>Thành phố Đà Nẵng</v>
      </c>
      <c r="O110" s="50" t="s">
        <v>775</v>
      </c>
      <c r="P110" s="35" t="s">
        <v>1130</v>
      </c>
    </row>
    <row r="111" spans="1:16" x14ac:dyDescent="0.35">
      <c r="A111" s="50" t="s">
        <v>910</v>
      </c>
      <c r="B111" s="50" t="s">
        <v>225</v>
      </c>
      <c r="C111" s="45" t="s">
        <v>392</v>
      </c>
      <c r="D111" s="50" t="s">
        <v>324</v>
      </c>
      <c r="E111" s="50" t="s">
        <v>57</v>
      </c>
      <c r="F111" s="50">
        <v>965482130</v>
      </c>
      <c r="G111" s="96">
        <v>45851</v>
      </c>
      <c r="H111" s="51">
        <v>250000</v>
      </c>
      <c r="I111" s="47">
        <f t="shared" si="10"/>
        <v>0</v>
      </c>
      <c r="J111" s="45">
        <f t="shared" si="11"/>
        <v>0</v>
      </c>
      <c r="K111" s="47">
        <f t="shared" si="8"/>
        <v>0</v>
      </c>
      <c r="L111" s="47">
        <f t="shared" si="9"/>
        <v>250000</v>
      </c>
      <c r="M111" s="85" t="s">
        <v>1056</v>
      </c>
      <c r="N111" s="45" t="str">
        <f>IFERROR(VLOOKUP(B111, Store!$A:$C, 3, FALSE), "")</f>
        <v>Thành phố Đà Nẵng</v>
      </c>
      <c r="O111" s="50" t="s">
        <v>775</v>
      </c>
      <c r="P111" s="35" t="s">
        <v>1130</v>
      </c>
    </row>
    <row r="112" spans="1:16" x14ac:dyDescent="0.35">
      <c r="A112" s="50" t="s">
        <v>911</v>
      </c>
      <c r="B112" s="50" t="s">
        <v>220</v>
      </c>
      <c r="C112" s="45" t="s">
        <v>396</v>
      </c>
      <c r="D112" s="50" t="s">
        <v>327</v>
      </c>
      <c r="E112" s="50" t="s">
        <v>37</v>
      </c>
      <c r="F112" s="50">
        <v>891306452</v>
      </c>
      <c r="G112" s="96">
        <v>45851</v>
      </c>
      <c r="H112" s="51">
        <v>470000</v>
      </c>
      <c r="I112" s="47">
        <f t="shared" si="10"/>
        <v>0</v>
      </c>
      <c r="J112" s="45">
        <f t="shared" si="11"/>
        <v>0</v>
      </c>
      <c r="K112" s="47">
        <f t="shared" si="8"/>
        <v>0</v>
      </c>
      <c r="L112" s="47">
        <f t="shared" si="9"/>
        <v>470000</v>
      </c>
      <c r="M112" s="85" t="s">
        <v>1087</v>
      </c>
      <c r="N112" s="45" t="str">
        <f>IFERROR(VLOOKUP(B112, Store!$A:$C, 3, FALSE), "")</f>
        <v>Thành phố Hồ Chí Minh</v>
      </c>
      <c r="O112" s="50" t="s">
        <v>775</v>
      </c>
      <c r="P112" s="35" t="s">
        <v>1130</v>
      </c>
    </row>
    <row r="113" spans="1:16" x14ac:dyDescent="0.35">
      <c r="A113" s="50" t="s">
        <v>912</v>
      </c>
      <c r="B113" s="50" t="s">
        <v>226</v>
      </c>
      <c r="C113" s="45" t="s">
        <v>397</v>
      </c>
      <c r="D113" s="50" t="s">
        <v>328</v>
      </c>
      <c r="E113" s="50" t="s">
        <v>38</v>
      </c>
      <c r="F113" s="50">
        <v>704957126</v>
      </c>
      <c r="G113" s="96">
        <v>45851</v>
      </c>
      <c r="H113" s="51">
        <v>265000</v>
      </c>
      <c r="I113" s="47">
        <f t="shared" si="10"/>
        <v>0</v>
      </c>
      <c r="J113" s="45">
        <f t="shared" si="11"/>
        <v>0</v>
      </c>
      <c r="K113" s="47">
        <f t="shared" si="8"/>
        <v>0</v>
      </c>
      <c r="L113" s="47">
        <f t="shared" si="9"/>
        <v>265000</v>
      </c>
      <c r="M113" s="86" t="s">
        <v>1044</v>
      </c>
      <c r="N113" s="45" t="str">
        <f>IFERROR(VLOOKUP(B113, Store!$A:$C, 3, FALSE), "")</f>
        <v>Thành phố Hồ Chí Minh</v>
      </c>
      <c r="O113" s="50" t="s">
        <v>775</v>
      </c>
      <c r="P113" s="35" t="s">
        <v>1130</v>
      </c>
    </row>
    <row r="114" spans="1:16" x14ac:dyDescent="0.35">
      <c r="A114" s="50" t="s">
        <v>913</v>
      </c>
      <c r="B114" s="50" t="s">
        <v>226</v>
      </c>
      <c r="C114" s="45" t="s">
        <v>397</v>
      </c>
      <c r="D114" s="50" t="s">
        <v>329</v>
      </c>
      <c r="E114" s="50" t="s">
        <v>39</v>
      </c>
      <c r="F114" s="50">
        <v>704957127</v>
      </c>
      <c r="G114" s="96">
        <v>45851</v>
      </c>
      <c r="H114" s="51">
        <v>360000</v>
      </c>
      <c r="I114" s="47">
        <f t="shared" si="10"/>
        <v>0</v>
      </c>
      <c r="J114" s="45">
        <f t="shared" si="11"/>
        <v>0</v>
      </c>
      <c r="K114" s="47">
        <f t="shared" si="8"/>
        <v>0</v>
      </c>
      <c r="L114" s="47">
        <f t="shared" si="9"/>
        <v>360000</v>
      </c>
      <c r="M114" s="86" t="s">
        <v>1044</v>
      </c>
      <c r="N114" s="45" t="str">
        <f>IFERROR(VLOOKUP(B114, Store!$A:$C, 3, FALSE), "")</f>
        <v>Thành phố Hồ Chí Minh</v>
      </c>
      <c r="O114" s="50" t="s">
        <v>775</v>
      </c>
      <c r="P114" s="35" t="s">
        <v>1130</v>
      </c>
    </row>
    <row r="115" spans="1:16" x14ac:dyDescent="0.35">
      <c r="A115" s="50" t="s">
        <v>914</v>
      </c>
      <c r="B115" s="50" t="s">
        <v>223</v>
      </c>
      <c r="C115" s="45" t="s">
        <v>388</v>
      </c>
      <c r="D115" s="50" t="s">
        <v>332</v>
      </c>
      <c r="E115" s="50" t="s">
        <v>113</v>
      </c>
      <c r="F115" s="50">
        <v>892341056</v>
      </c>
      <c r="G115" s="96">
        <v>45851</v>
      </c>
      <c r="H115" s="51">
        <v>540000</v>
      </c>
      <c r="I115" s="47">
        <f t="shared" si="10"/>
        <v>0</v>
      </c>
      <c r="J115" s="45">
        <f t="shared" si="11"/>
        <v>0</v>
      </c>
      <c r="K115" s="47">
        <f t="shared" si="8"/>
        <v>0</v>
      </c>
      <c r="L115" s="47">
        <f t="shared" si="9"/>
        <v>540000</v>
      </c>
      <c r="M115" s="85" t="s">
        <v>1079</v>
      </c>
      <c r="N115" s="45" t="s">
        <v>206</v>
      </c>
      <c r="O115" s="50" t="s">
        <v>775</v>
      </c>
      <c r="P115" s="35" t="s">
        <v>1130</v>
      </c>
    </row>
    <row r="116" spans="1:16" x14ac:dyDescent="0.35">
      <c r="A116" s="50" t="s">
        <v>915</v>
      </c>
      <c r="B116" s="50" t="s">
        <v>226</v>
      </c>
      <c r="C116" s="45" t="s">
        <v>382</v>
      </c>
      <c r="D116" s="50" t="s">
        <v>333</v>
      </c>
      <c r="E116" s="50" t="s">
        <v>114</v>
      </c>
      <c r="F116" s="50">
        <v>706548231</v>
      </c>
      <c r="G116" s="96">
        <v>45851</v>
      </c>
      <c r="H116" s="51">
        <v>200000</v>
      </c>
      <c r="I116" s="47">
        <f t="shared" si="10"/>
        <v>0</v>
      </c>
      <c r="J116" s="45">
        <f t="shared" si="11"/>
        <v>0</v>
      </c>
      <c r="K116" s="47">
        <f t="shared" si="8"/>
        <v>0</v>
      </c>
      <c r="L116" s="47">
        <f t="shared" si="9"/>
        <v>200000</v>
      </c>
      <c r="M116" s="85" t="s">
        <v>184</v>
      </c>
      <c r="N116" s="45" t="str">
        <f>IFERROR(VLOOKUP(B116, Store!$A:$C, 3, FALSE), "")</f>
        <v>Thành phố Hồ Chí Minh</v>
      </c>
      <c r="O116" s="50" t="s">
        <v>775</v>
      </c>
      <c r="P116" s="35" t="s">
        <v>1130</v>
      </c>
    </row>
    <row r="117" spans="1:16" x14ac:dyDescent="0.35">
      <c r="A117" s="50" t="s">
        <v>916</v>
      </c>
      <c r="B117" s="50" t="s">
        <v>227</v>
      </c>
      <c r="C117" s="45" t="s">
        <v>987</v>
      </c>
      <c r="D117" s="50" t="s">
        <v>334</v>
      </c>
      <c r="E117" s="50" t="s">
        <v>115</v>
      </c>
      <c r="F117" s="50">
        <v>907436128</v>
      </c>
      <c r="G117" s="96">
        <v>45852</v>
      </c>
      <c r="H117" s="51">
        <v>360000</v>
      </c>
      <c r="I117" s="47">
        <f t="shared" si="10"/>
        <v>0</v>
      </c>
      <c r="J117" s="45">
        <f t="shared" si="11"/>
        <v>0</v>
      </c>
      <c r="K117" s="47">
        <f t="shared" si="8"/>
        <v>0</v>
      </c>
      <c r="L117" s="47">
        <f t="shared" si="9"/>
        <v>360000</v>
      </c>
      <c r="M117" s="85" t="s">
        <v>185</v>
      </c>
      <c r="N117" s="45" t="s">
        <v>197</v>
      </c>
      <c r="O117" s="50" t="s">
        <v>775</v>
      </c>
      <c r="P117" s="35" t="s">
        <v>1130</v>
      </c>
    </row>
    <row r="118" spans="1:16" x14ac:dyDescent="0.35">
      <c r="A118" s="50" t="s">
        <v>917</v>
      </c>
      <c r="B118" s="50" t="s">
        <v>220</v>
      </c>
      <c r="C118" s="45" t="s">
        <v>378</v>
      </c>
      <c r="D118" s="50" t="s">
        <v>335</v>
      </c>
      <c r="E118" s="50" t="s">
        <v>116</v>
      </c>
      <c r="F118" s="50">
        <v>829381046</v>
      </c>
      <c r="G118" s="96">
        <v>45852</v>
      </c>
      <c r="H118" s="51">
        <v>720000</v>
      </c>
      <c r="I118" s="47">
        <f t="shared" si="10"/>
        <v>0</v>
      </c>
      <c r="J118" s="45">
        <f t="shared" si="11"/>
        <v>0</v>
      </c>
      <c r="K118" s="47">
        <f t="shared" si="8"/>
        <v>0</v>
      </c>
      <c r="L118" s="47">
        <f t="shared" si="9"/>
        <v>720000</v>
      </c>
      <c r="M118" s="86" t="s">
        <v>1045</v>
      </c>
      <c r="N118" s="45" t="str">
        <f>IFERROR(VLOOKUP(B118, Store!$A:$C, 3, FALSE), "")</f>
        <v>Thành phố Hồ Chí Minh</v>
      </c>
      <c r="O118" s="50" t="s">
        <v>775</v>
      </c>
      <c r="P118" s="35" t="s">
        <v>1130</v>
      </c>
    </row>
    <row r="119" spans="1:16" x14ac:dyDescent="0.35">
      <c r="A119" s="50" t="s">
        <v>918</v>
      </c>
      <c r="B119" s="50" t="s">
        <v>222</v>
      </c>
      <c r="C119" s="45" t="s">
        <v>384</v>
      </c>
      <c r="D119" s="50" t="s">
        <v>336</v>
      </c>
      <c r="E119" s="50" t="s">
        <v>117</v>
      </c>
      <c r="F119" s="50">
        <v>920346582</v>
      </c>
      <c r="G119" s="96">
        <v>45852</v>
      </c>
      <c r="H119" s="51">
        <v>320000</v>
      </c>
      <c r="I119" s="47">
        <f t="shared" si="10"/>
        <v>0</v>
      </c>
      <c r="J119" s="45">
        <f t="shared" si="11"/>
        <v>0</v>
      </c>
      <c r="K119" s="47">
        <f t="shared" si="8"/>
        <v>0</v>
      </c>
      <c r="L119" s="47">
        <f t="shared" si="9"/>
        <v>320000</v>
      </c>
      <c r="M119" s="85" t="s">
        <v>1091</v>
      </c>
      <c r="N119" s="45" t="str">
        <f>IFERROR(VLOOKUP(B119, Store!$A:$C, 3, FALSE), "")</f>
        <v>Thành phố Hà Nội</v>
      </c>
      <c r="O119" s="50" t="s">
        <v>775</v>
      </c>
      <c r="P119" s="35" t="s">
        <v>1130</v>
      </c>
    </row>
    <row r="120" spans="1:16" x14ac:dyDescent="0.35">
      <c r="A120" s="50" t="s">
        <v>919</v>
      </c>
      <c r="B120" s="50" t="s">
        <v>225</v>
      </c>
      <c r="C120" s="45" t="s">
        <v>391</v>
      </c>
      <c r="D120" s="50" t="s">
        <v>338</v>
      </c>
      <c r="E120" s="50" t="s">
        <v>217</v>
      </c>
      <c r="F120" s="50">
        <v>932847619</v>
      </c>
      <c r="G120" s="96">
        <v>45852</v>
      </c>
      <c r="H120" s="51">
        <v>360000</v>
      </c>
      <c r="I120" s="47">
        <f t="shared" si="10"/>
        <v>0</v>
      </c>
      <c r="J120" s="45">
        <f t="shared" si="11"/>
        <v>0</v>
      </c>
      <c r="K120" s="47">
        <f t="shared" si="8"/>
        <v>0</v>
      </c>
      <c r="L120" s="47">
        <f t="shared" si="9"/>
        <v>360000</v>
      </c>
      <c r="M120" s="85" t="s">
        <v>187</v>
      </c>
      <c r="N120" s="45" t="s">
        <v>198</v>
      </c>
      <c r="O120" s="50" t="s">
        <v>775</v>
      </c>
      <c r="P120" s="35" t="s">
        <v>1130</v>
      </c>
    </row>
    <row r="121" spans="1:16" x14ac:dyDescent="0.35">
      <c r="A121" s="50" t="s">
        <v>920</v>
      </c>
      <c r="B121" s="50" t="s">
        <v>225</v>
      </c>
      <c r="C121" s="45" t="s">
        <v>394</v>
      </c>
      <c r="D121" s="50" t="s">
        <v>339</v>
      </c>
      <c r="E121" s="50" t="s">
        <v>119</v>
      </c>
      <c r="F121" s="50">
        <v>901245786</v>
      </c>
      <c r="G121" s="96">
        <v>45852</v>
      </c>
      <c r="H121" s="51">
        <v>180000</v>
      </c>
      <c r="I121" s="47">
        <f t="shared" si="10"/>
        <v>0</v>
      </c>
      <c r="J121" s="45">
        <f t="shared" si="11"/>
        <v>0</v>
      </c>
      <c r="K121" s="47">
        <f t="shared" si="8"/>
        <v>0</v>
      </c>
      <c r="L121" s="47">
        <f t="shared" si="9"/>
        <v>180000</v>
      </c>
      <c r="M121" s="85" t="s">
        <v>188</v>
      </c>
      <c r="N121" s="45" t="str">
        <f>IFERROR(VLOOKUP(B121, Store!$A:$C, 3, FALSE), "")</f>
        <v>Thành phố Đà Nẵng</v>
      </c>
      <c r="O121" s="50" t="s">
        <v>775</v>
      </c>
      <c r="P121" s="35"/>
    </row>
    <row r="122" spans="1:16" x14ac:dyDescent="0.35">
      <c r="A122" s="50" t="s">
        <v>921</v>
      </c>
      <c r="B122" s="50" t="s">
        <v>227</v>
      </c>
      <c r="C122" s="45" t="s">
        <v>393</v>
      </c>
      <c r="D122" s="50" t="s">
        <v>340</v>
      </c>
      <c r="E122" s="50" t="s">
        <v>120</v>
      </c>
      <c r="F122" s="50">
        <v>973569840</v>
      </c>
      <c r="G122" s="96">
        <v>45852</v>
      </c>
      <c r="H122" s="51">
        <v>1005000</v>
      </c>
      <c r="I122" s="47">
        <f t="shared" si="10"/>
        <v>0</v>
      </c>
      <c r="J122" s="45">
        <f t="shared" si="11"/>
        <v>0</v>
      </c>
      <c r="K122" s="47">
        <f t="shared" si="8"/>
        <v>0</v>
      </c>
      <c r="L122" s="47">
        <f t="shared" si="9"/>
        <v>1005000</v>
      </c>
      <c r="M122" s="85" t="s">
        <v>189</v>
      </c>
      <c r="N122" s="45" t="s">
        <v>200</v>
      </c>
      <c r="O122" s="50" t="s">
        <v>775</v>
      </c>
      <c r="P122" s="35"/>
    </row>
    <row r="123" spans="1:16" x14ac:dyDescent="0.35">
      <c r="A123" s="50" t="s">
        <v>922</v>
      </c>
      <c r="B123" s="50" t="s">
        <v>225</v>
      </c>
      <c r="C123" s="45" t="s">
        <v>392</v>
      </c>
      <c r="D123" s="50" t="s">
        <v>343</v>
      </c>
      <c r="E123" s="50" t="s">
        <v>123</v>
      </c>
      <c r="F123" s="50">
        <v>909456217</v>
      </c>
      <c r="G123" s="96">
        <v>45853</v>
      </c>
      <c r="H123" s="51">
        <v>360000</v>
      </c>
      <c r="I123" s="47">
        <f t="shared" si="10"/>
        <v>0</v>
      </c>
      <c r="J123" s="45">
        <f t="shared" si="11"/>
        <v>0</v>
      </c>
      <c r="K123" s="47">
        <f t="shared" si="8"/>
        <v>0</v>
      </c>
      <c r="L123" s="47">
        <f t="shared" si="9"/>
        <v>360000</v>
      </c>
      <c r="M123" s="85" t="s">
        <v>1057</v>
      </c>
      <c r="N123" s="45" t="str">
        <f>IFERROR(VLOOKUP(B123, Store!$A:$C, 3, FALSE), "")</f>
        <v>Thành phố Đà Nẵng</v>
      </c>
      <c r="O123" s="50" t="s">
        <v>775</v>
      </c>
      <c r="P123" s="35"/>
    </row>
    <row r="124" spans="1:16" x14ac:dyDescent="0.35">
      <c r="A124" s="50" t="s">
        <v>923</v>
      </c>
      <c r="B124" s="50" t="s">
        <v>225</v>
      </c>
      <c r="C124" s="45" t="s">
        <v>391</v>
      </c>
      <c r="D124" s="50" t="s">
        <v>344</v>
      </c>
      <c r="E124" s="50" t="s">
        <v>124</v>
      </c>
      <c r="F124" s="50">
        <v>921384059</v>
      </c>
      <c r="G124" s="96">
        <v>45853</v>
      </c>
      <c r="H124" s="51">
        <v>250000</v>
      </c>
      <c r="I124" s="47">
        <f t="shared" si="10"/>
        <v>0</v>
      </c>
      <c r="J124" s="45">
        <f t="shared" si="11"/>
        <v>0</v>
      </c>
      <c r="K124" s="47">
        <f t="shared" si="8"/>
        <v>0</v>
      </c>
      <c r="L124" s="47">
        <f t="shared" si="9"/>
        <v>250000</v>
      </c>
      <c r="M124" s="85" t="s">
        <v>1057</v>
      </c>
      <c r="N124" s="45" t="str">
        <f>IFERROR(VLOOKUP(B124, Store!$A:$C, 3, FALSE), "")</f>
        <v>Thành phố Đà Nẵng</v>
      </c>
      <c r="O124" s="50" t="s">
        <v>775</v>
      </c>
      <c r="P124" s="35"/>
    </row>
    <row r="125" spans="1:16" x14ac:dyDescent="0.35">
      <c r="A125" s="50" t="s">
        <v>924</v>
      </c>
      <c r="B125" s="50" t="s">
        <v>223</v>
      </c>
      <c r="C125" s="45" t="s">
        <v>389</v>
      </c>
      <c r="D125" s="50" t="s">
        <v>345</v>
      </c>
      <c r="E125" s="50" t="s">
        <v>125</v>
      </c>
      <c r="F125" s="50">
        <v>903281764</v>
      </c>
      <c r="G125" s="96">
        <v>45853</v>
      </c>
      <c r="H125" s="51">
        <v>530000</v>
      </c>
      <c r="I125" s="47">
        <f t="shared" si="10"/>
        <v>0</v>
      </c>
      <c r="J125" s="45">
        <f t="shared" si="11"/>
        <v>0</v>
      </c>
      <c r="K125" s="47">
        <f t="shared" si="8"/>
        <v>0</v>
      </c>
      <c r="L125" s="47">
        <f t="shared" si="9"/>
        <v>530000</v>
      </c>
      <c r="M125" s="85" t="s">
        <v>190</v>
      </c>
      <c r="N125" s="45" t="s">
        <v>209</v>
      </c>
      <c r="O125" s="50" t="s">
        <v>775</v>
      </c>
      <c r="P125" s="35"/>
    </row>
    <row r="126" spans="1:16" x14ac:dyDescent="0.35">
      <c r="A126" s="50" t="s">
        <v>925</v>
      </c>
      <c r="B126" s="50" t="s">
        <v>220</v>
      </c>
      <c r="C126" s="45" t="s">
        <v>387</v>
      </c>
      <c r="D126" s="50" t="s">
        <v>346</v>
      </c>
      <c r="E126" s="50" t="s">
        <v>126</v>
      </c>
      <c r="F126" s="50">
        <v>826410938</v>
      </c>
      <c r="G126" s="96">
        <v>45853</v>
      </c>
      <c r="H126" s="51">
        <v>235000</v>
      </c>
      <c r="I126" s="47">
        <f t="shared" si="10"/>
        <v>0</v>
      </c>
      <c r="J126" s="45">
        <f t="shared" si="11"/>
        <v>0</v>
      </c>
      <c r="K126" s="47">
        <f t="shared" si="8"/>
        <v>0</v>
      </c>
      <c r="L126" s="47">
        <f t="shared" si="9"/>
        <v>235000</v>
      </c>
      <c r="M126" s="85" t="s">
        <v>191</v>
      </c>
      <c r="N126" s="45" t="str">
        <f>IFERROR(VLOOKUP(B126, Store!$A:$C, 3, FALSE), "")</f>
        <v>Thành phố Hồ Chí Minh</v>
      </c>
      <c r="O126" s="50" t="s">
        <v>775</v>
      </c>
      <c r="P126" s="35" t="s">
        <v>1132</v>
      </c>
    </row>
    <row r="127" spans="1:16" x14ac:dyDescent="0.35">
      <c r="A127" s="50" t="s">
        <v>926</v>
      </c>
      <c r="B127" s="50" t="s">
        <v>226</v>
      </c>
      <c r="C127" s="45" t="s">
        <v>387</v>
      </c>
      <c r="D127" s="50" t="s">
        <v>349</v>
      </c>
      <c r="E127" s="50" t="s">
        <v>218</v>
      </c>
      <c r="F127" s="50">
        <v>709436521</v>
      </c>
      <c r="G127" s="96">
        <v>45853</v>
      </c>
      <c r="H127" s="51">
        <v>540000</v>
      </c>
      <c r="I127" s="47">
        <f t="shared" si="10"/>
        <v>0</v>
      </c>
      <c r="J127" s="45">
        <f t="shared" si="11"/>
        <v>0</v>
      </c>
      <c r="K127" s="47">
        <f t="shared" si="8"/>
        <v>0</v>
      </c>
      <c r="L127" s="47">
        <f t="shared" si="9"/>
        <v>540000</v>
      </c>
      <c r="M127" s="85" t="s">
        <v>216</v>
      </c>
      <c r="N127" s="45" t="s">
        <v>193</v>
      </c>
      <c r="O127" s="50" t="s">
        <v>775</v>
      </c>
      <c r="P127" s="35" t="s">
        <v>1132</v>
      </c>
    </row>
    <row r="128" spans="1:16" x14ac:dyDescent="0.35">
      <c r="A128" s="50" t="s">
        <v>927</v>
      </c>
      <c r="B128" s="50" t="s">
        <v>227</v>
      </c>
      <c r="C128" s="45" t="s">
        <v>383</v>
      </c>
      <c r="D128" s="50" t="s">
        <v>350</v>
      </c>
      <c r="E128" s="50" t="s">
        <v>130</v>
      </c>
      <c r="F128" s="50">
        <v>916472309</v>
      </c>
      <c r="G128" s="96">
        <v>45853</v>
      </c>
      <c r="H128" s="51">
        <f>235000*2</f>
        <v>470000</v>
      </c>
      <c r="I128" s="47">
        <f t="shared" si="10"/>
        <v>0</v>
      </c>
      <c r="J128" s="45">
        <f t="shared" si="11"/>
        <v>0</v>
      </c>
      <c r="K128" s="47">
        <f t="shared" si="8"/>
        <v>0</v>
      </c>
      <c r="L128" s="47">
        <f t="shared" si="9"/>
        <v>470000</v>
      </c>
      <c r="M128" s="85" t="s">
        <v>1099</v>
      </c>
      <c r="N128" s="45" t="s">
        <v>1127</v>
      </c>
      <c r="O128" s="50" t="s">
        <v>775</v>
      </c>
      <c r="P128" s="35" t="s">
        <v>1132</v>
      </c>
    </row>
    <row r="129" spans="1:16" x14ac:dyDescent="0.35">
      <c r="A129" s="50" t="s">
        <v>928</v>
      </c>
      <c r="B129" s="50" t="s">
        <v>227</v>
      </c>
      <c r="C129" s="45" t="s">
        <v>386</v>
      </c>
      <c r="D129" s="50" t="s">
        <v>351</v>
      </c>
      <c r="E129" s="50" t="s">
        <v>129</v>
      </c>
      <c r="F129" s="50">
        <v>971348025</v>
      </c>
      <c r="G129" s="96">
        <v>45853</v>
      </c>
      <c r="H129" s="51">
        <f>265000*2</f>
        <v>530000</v>
      </c>
      <c r="I129" s="47">
        <f t="shared" si="10"/>
        <v>0</v>
      </c>
      <c r="J129" s="45">
        <f t="shared" si="11"/>
        <v>0</v>
      </c>
      <c r="K129" s="47">
        <f t="shared" si="8"/>
        <v>0</v>
      </c>
      <c r="L129" s="47">
        <f t="shared" si="9"/>
        <v>530000</v>
      </c>
      <c r="M129" s="85" t="s">
        <v>1100</v>
      </c>
      <c r="N129" s="45" t="s">
        <v>203</v>
      </c>
      <c r="O129" s="50" t="s">
        <v>775</v>
      </c>
      <c r="P129" s="35" t="s">
        <v>1132</v>
      </c>
    </row>
    <row r="130" spans="1:16" ht="28.5" customHeight="1" x14ac:dyDescent="0.35">
      <c r="A130" s="50" t="s">
        <v>929</v>
      </c>
      <c r="B130" s="50" t="s">
        <v>223</v>
      </c>
      <c r="C130" s="48" t="s">
        <v>382</v>
      </c>
      <c r="D130" s="50" t="s">
        <v>359</v>
      </c>
      <c r="E130" s="39" t="s">
        <v>944</v>
      </c>
      <c r="F130" s="52">
        <v>978345623</v>
      </c>
      <c r="G130" s="96">
        <v>45853</v>
      </c>
      <c r="H130" s="51">
        <v>97000000</v>
      </c>
      <c r="I130" s="47" t="str">
        <f t="shared" ref="I130:I132" si="12">IF(AND(G130=DATE(2025,7,7), H130&gt;=1000000), "DIS_003A",
   IF(AND(G130=DATE(2025,7,15), H130&gt;=1000000), "DIS_003B", 0))</f>
        <v>DIS_003B</v>
      </c>
      <c r="J130" s="45">
        <f t="shared" si="11"/>
        <v>20</v>
      </c>
      <c r="K130" s="47">
        <f t="shared" si="8"/>
        <v>19400000</v>
      </c>
      <c r="L130" s="47">
        <f t="shared" si="9"/>
        <v>77600000</v>
      </c>
      <c r="M130" s="39" t="s">
        <v>1106</v>
      </c>
      <c r="N130" s="39" t="s">
        <v>206</v>
      </c>
      <c r="O130" s="50" t="s">
        <v>775</v>
      </c>
      <c r="P130" s="35"/>
    </row>
    <row r="131" spans="1:16" ht="31" x14ac:dyDescent="0.35">
      <c r="A131" s="50" t="s">
        <v>930</v>
      </c>
      <c r="B131" s="50" t="s">
        <v>222</v>
      </c>
      <c r="C131" s="48" t="s">
        <v>383</v>
      </c>
      <c r="D131" s="50" t="s">
        <v>362</v>
      </c>
      <c r="E131" s="39" t="s">
        <v>950</v>
      </c>
      <c r="F131" s="52">
        <v>923847561</v>
      </c>
      <c r="G131" s="96">
        <v>45853</v>
      </c>
      <c r="H131" s="51">
        <v>133000000</v>
      </c>
      <c r="I131" s="47" t="str">
        <f t="shared" si="12"/>
        <v>DIS_003B</v>
      </c>
      <c r="J131" s="45">
        <f t="shared" si="11"/>
        <v>20</v>
      </c>
      <c r="K131" s="47">
        <f t="shared" ref="K131:K132" si="13">H131*J131%</f>
        <v>26600000</v>
      </c>
      <c r="L131" s="47">
        <f t="shared" ref="L131:L132" si="14">H131-K131</f>
        <v>106400000</v>
      </c>
      <c r="M131" s="94" t="s">
        <v>186</v>
      </c>
      <c r="N131" s="39" t="s">
        <v>194</v>
      </c>
      <c r="O131" s="50" t="s">
        <v>775</v>
      </c>
      <c r="P131" s="35"/>
    </row>
    <row r="132" spans="1:16" ht="31" x14ac:dyDescent="0.35">
      <c r="A132" s="50" t="s">
        <v>931</v>
      </c>
      <c r="B132" s="50" t="s">
        <v>223</v>
      </c>
      <c r="C132" s="48" t="s">
        <v>383</v>
      </c>
      <c r="D132" s="50" t="s">
        <v>366</v>
      </c>
      <c r="E132" s="39" t="s">
        <v>960</v>
      </c>
      <c r="F132" s="52">
        <v>901234987</v>
      </c>
      <c r="G132" s="96">
        <v>45853</v>
      </c>
      <c r="H132" s="51">
        <v>85100000</v>
      </c>
      <c r="I132" s="47" t="str">
        <f t="shared" si="12"/>
        <v>DIS_003B</v>
      </c>
      <c r="J132" s="45">
        <f t="shared" si="11"/>
        <v>20</v>
      </c>
      <c r="K132" s="47">
        <f t="shared" si="13"/>
        <v>17020000</v>
      </c>
      <c r="L132" s="47">
        <f t="shared" si="14"/>
        <v>68080000</v>
      </c>
      <c r="M132" s="39" t="s">
        <v>1108</v>
      </c>
      <c r="N132" s="39" t="s">
        <v>209</v>
      </c>
      <c r="O132" s="50" t="s">
        <v>775</v>
      </c>
      <c r="P132" s="35"/>
    </row>
    <row r="134" spans="1:16" x14ac:dyDescent="0.35">
      <c r="L134" s="85"/>
      <c r="M134" s="45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3104-FABD-4AC2-8EF5-06CBD3ACCBED}">
  <dimension ref="A1:J226"/>
  <sheetViews>
    <sheetView zoomScaleNormal="100" workbookViewId="0">
      <selection activeCell="I24" sqref="I24"/>
    </sheetView>
  </sheetViews>
  <sheetFormatPr defaultRowHeight="14.5" x14ac:dyDescent="0.35"/>
  <cols>
    <col min="1" max="1" width="5.81640625" customWidth="1"/>
    <col min="2" max="2" width="12.36328125" customWidth="1"/>
    <col min="3" max="3" width="11.1796875" customWidth="1"/>
    <col min="4" max="4" width="43.6328125" bestFit="1" customWidth="1"/>
    <col min="5" max="5" width="13.453125" customWidth="1"/>
    <col min="6" max="6" width="7.36328125" customWidth="1"/>
    <col min="7" max="7" width="11.26953125" customWidth="1"/>
    <col min="8" max="8" width="16.6328125" style="1" customWidth="1"/>
    <col min="9" max="9" width="16.6328125" customWidth="1"/>
    <col min="10" max="10" width="12.90625" style="1" customWidth="1"/>
    <col min="11" max="11" width="12" customWidth="1"/>
  </cols>
  <sheetData>
    <row r="1" spans="1:10" x14ac:dyDescent="0.35">
      <c r="A1" s="21" t="s">
        <v>776</v>
      </c>
      <c r="B1" s="21" t="s">
        <v>765</v>
      </c>
      <c r="C1" s="21" t="s">
        <v>228</v>
      </c>
      <c r="D1" s="2" t="s">
        <v>233</v>
      </c>
      <c r="E1" s="2" t="s">
        <v>402</v>
      </c>
      <c r="F1" s="2" t="s">
        <v>10</v>
      </c>
      <c r="G1" s="2" t="s">
        <v>403</v>
      </c>
      <c r="H1" s="22" t="s">
        <v>777</v>
      </c>
      <c r="I1" s="3" t="s">
        <v>778</v>
      </c>
      <c r="J1" s="3" t="s">
        <v>773</v>
      </c>
    </row>
    <row r="2" spans="1:10" x14ac:dyDescent="0.35">
      <c r="A2">
        <v>1</v>
      </c>
      <c r="B2" t="s">
        <v>774</v>
      </c>
      <c r="C2" t="s">
        <v>464</v>
      </c>
      <c r="D2" t="s">
        <v>7</v>
      </c>
      <c r="E2" t="s">
        <v>8</v>
      </c>
      <c r="F2" t="s">
        <v>11</v>
      </c>
      <c r="G2">
        <v>2</v>
      </c>
      <c r="H2" s="1">
        <v>250000</v>
      </c>
      <c r="I2" s="23" t="str">
        <f>IF(AND(ISNUMBER(MATCH(C2, Discount_Product_Apply!$B$2:$B$30, 0)), G2&gt;=3, Order!G2&gt;=DATE(2025,7,1), Order!G2&lt;=DATE(2025,7,11)), "DIS_004", "")</f>
        <v/>
      </c>
      <c r="J2" s="33">
        <f t="shared" ref="J2:J33" si="0">IF(I2="DIS_004", INT(G2/3)*500000 + MOD(G2,3)*H2, H2*G2)</f>
        <v>500000</v>
      </c>
    </row>
    <row r="3" spans="1:10" x14ac:dyDescent="0.35">
      <c r="A3">
        <v>2</v>
      </c>
      <c r="B3" t="s">
        <v>774</v>
      </c>
      <c r="C3" t="s">
        <v>745</v>
      </c>
      <c r="D3" t="s">
        <v>429</v>
      </c>
      <c r="E3" t="s">
        <v>9</v>
      </c>
      <c r="F3" t="s">
        <v>11</v>
      </c>
      <c r="G3">
        <v>1</v>
      </c>
      <c r="H3" s="1">
        <v>320000</v>
      </c>
      <c r="I3" s="23" t="str">
        <f>IF(AND(ISNUMBER(MATCH(C3, Discount_Product_Apply!$B$2:$B$30, 0)), G3&gt;=3, Order!G3&gt;=DATE(2025,7,1), Order!G3&lt;=DATE(2025,7,11)), "DIS_004", "")</f>
        <v/>
      </c>
      <c r="J3" s="33">
        <f t="shared" si="0"/>
        <v>320000</v>
      </c>
    </row>
    <row r="4" spans="1:10" x14ac:dyDescent="0.35">
      <c r="A4">
        <v>3</v>
      </c>
      <c r="B4" s="23" t="s">
        <v>800</v>
      </c>
      <c r="C4" s="23" t="s">
        <v>477</v>
      </c>
      <c r="D4" s="23" t="s">
        <v>415</v>
      </c>
      <c r="E4" s="23" t="s">
        <v>435</v>
      </c>
      <c r="F4" s="23" t="s">
        <v>11</v>
      </c>
      <c r="G4" s="23">
        <v>1</v>
      </c>
      <c r="H4" s="34">
        <v>180000</v>
      </c>
      <c r="I4" s="23" t="str">
        <f>IF(AND(ISNUMBER(MATCH(C4, Discount_Product_Apply!$B$2:$B$30, 0)), G4&gt;=3, Order!G4&gt;=DATE(2025,7,1), Order!G4&lt;=DATE(2025,7,11)), "DIS_004", "")</f>
        <v/>
      </c>
      <c r="J4" s="33">
        <f t="shared" si="0"/>
        <v>180000</v>
      </c>
    </row>
    <row r="5" spans="1:10" x14ac:dyDescent="0.35">
      <c r="A5">
        <v>4</v>
      </c>
      <c r="B5" s="23" t="s">
        <v>801</v>
      </c>
      <c r="C5" s="23" t="s">
        <v>486</v>
      </c>
      <c r="D5" s="23" t="s">
        <v>406</v>
      </c>
      <c r="E5" s="23" t="s">
        <v>8</v>
      </c>
      <c r="F5" s="23" t="s">
        <v>20</v>
      </c>
      <c r="G5" s="23">
        <v>3</v>
      </c>
      <c r="H5" s="33">
        <v>230000</v>
      </c>
      <c r="I5" s="23" t="str">
        <f>IF(AND(ISNUMBER(MATCH(C5, Discount_Product_Apply!$B$2:$B$30, 0)), G5&gt;=3, Order!G5&gt;=DATE(2025,7,1), Order!G5&lt;=DATE(2025,7,11)), "DIS_004", "")</f>
        <v/>
      </c>
      <c r="J5" s="33">
        <f t="shared" si="0"/>
        <v>690000</v>
      </c>
    </row>
    <row r="6" spans="1:10" x14ac:dyDescent="0.35">
      <c r="A6">
        <v>5</v>
      </c>
      <c r="B6" s="23" t="s">
        <v>801</v>
      </c>
      <c r="C6" s="23" t="s">
        <v>511</v>
      </c>
      <c r="D6" s="23" t="s">
        <v>422</v>
      </c>
      <c r="E6" s="23" t="s">
        <v>438</v>
      </c>
      <c r="F6" s="23" t="s">
        <v>20</v>
      </c>
      <c r="G6" s="23">
        <v>1</v>
      </c>
      <c r="H6" s="33">
        <v>235000</v>
      </c>
      <c r="I6" s="23" t="str">
        <f>IF(AND(ISNUMBER(MATCH(C6, Discount_Product_Apply!$B$2:$B$30, 0)), G6&gt;=3, Order!G6&gt;=DATE(2025,7,1), Order!G6&lt;=DATE(2025,7,11)), "DIS_004", "")</f>
        <v/>
      </c>
      <c r="J6" s="33">
        <f t="shared" si="0"/>
        <v>235000</v>
      </c>
    </row>
    <row r="7" spans="1:10" x14ac:dyDescent="0.35">
      <c r="A7">
        <v>6</v>
      </c>
      <c r="B7" s="23" t="s">
        <v>802</v>
      </c>
      <c r="C7" s="23" t="s">
        <v>496</v>
      </c>
      <c r="D7" s="23" t="s">
        <v>416</v>
      </c>
      <c r="E7" s="23" t="s">
        <v>436</v>
      </c>
      <c r="F7" s="23" t="s">
        <v>20</v>
      </c>
      <c r="G7" s="23">
        <v>2</v>
      </c>
      <c r="H7" s="33">
        <v>180000</v>
      </c>
      <c r="I7" s="23" t="str">
        <f>IF(AND(ISNUMBER(MATCH(C7, Discount_Product_Apply!$B$2:$B$30, 0)), G7&gt;=3, Order!G7&gt;=DATE(2025,7,1), Order!G7&lt;=DATE(2025,7,11)), "DIS_004", "")</f>
        <v/>
      </c>
      <c r="J7" s="33">
        <f t="shared" si="0"/>
        <v>360000</v>
      </c>
    </row>
    <row r="8" spans="1:10" x14ac:dyDescent="0.35">
      <c r="A8">
        <v>7</v>
      </c>
      <c r="B8" s="23" t="s">
        <v>803</v>
      </c>
      <c r="C8" s="23" t="s">
        <v>734</v>
      </c>
      <c r="D8" s="23" t="s">
        <v>428</v>
      </c>
      <c r="E8" s="23" t="s">
        <v>30</v>
      </c>
      <c r="F8" s="23" t="s">
        <v>20</v>
      </c>
      <c r="G8" s="23">
        <v>2</v>
      </c>
      <c r="H8" s="33">
        <v>265000</v>
      </c>
      <c r="I8" s="23" t="str">
        <f>IF(AND(ISNUMBER(MATCH(C8, Discount_Product_Apply!$B$2:$B$30, 0)), G8&gt;=3, Order!G8&gt;=DATE(2025,7,1), Order!G8&lt;=DATE(2025,7,11)), "DIS_004", "")</f>
        <v/>
      </c>
      <c r="J8" s="33">
        <f t="shared" si="0"/>
        <v>530000</v>
      </c>
    </row>
    <row r="9" spans="1:10" x14ac:dyDescent="0.35">
      <c r="A9">
        <v>8</v>
      </c>
      <c r="B9" s="23" t="s">
        <v>804</v>
      </c>
      <c r="C9" s="23" t="s">
        <v>462</v>
      </c>
      <c r="D9" s="23" t="s">
        <v>7</v>
      </c>
      <c r="E9" s="23" t="s">
        <v>8</v>
      </c>
      <c r="F9" s="23" t="s">
        <v>31</v>
      </c>
      <c r="G9" s="23">
        <v>4</v>
      </c>
      <c r="H9" s="33">
        <v>250000</v>
      </c>
      <c r="I9" s="23" t="str">
        <f>IF(AND(ISNUMBER(MATCH(C9, Discount_Product_Apply!$B$2:$B$30, 0)), G9&gt;=3, Order!G9&gt;=DATE(2025,7,1), Order!G9&lt;=DATE(2025,7,11)), "DIS_004", "")</f>
        <v/>
      </c>
      <c r="J9" s="33">
        <f t="shared" si="0"/>
        <v>1000000</v>
      </c>
    </row>
    <row r="10" spans="1:10" x14ac:dyDescent="0.35">
      <c r="A10">
        <v>9</v>
      </c>
      <c r="B10" s="23" t="s">
        <v>805</v>
      </c>
      <c r="C10" s="23" t="s">
        <v>506</v>
      </c>
      <c r="D10" s="23" t="s">
        <v>416</v>
      </c>
      <c r="E10" s="23" t="s">
        <v>30</v>
      </c>
      <c r="F10" s="23" t="s">
        <v>20</v>
      </c>
      <c r="G10" s="23">
        <v>1</v>
      </c>
      <c r="H10" s="33">
        <v>180000</v>
      </c>
      <c r="I10" s="23" t="str">
        <f>IF(AND(ISNUMBER(MATCH(C10, Discount_Product_Apply!$B$2:$B$30, 0)), G10&gt;=3, Order!G10&gt;=DATE(2025,7,1), Order!G10&lt;=DATE(2025,7,11)), "DIS_004", "")</f>
        <v/>
      </c>
      <c r="J10" s="33">
        <f t="shared" si="0"/>
        <v>180000</v>
      </c>
    </row>
    <row r="11" spans="1:10" x14ac:dyDescent="0.35">
      <c r="A11">
        <v>10</v>
      </c>
      <c r="B11" s="23" t="s">
        <v>806</v>
      </c>
      <c r="C11" s="23" t="s">
        <v>487</v>
      </c>
      <c r="D11" s="23" t="s">
        <v>406</v>
      </c>
      <c r="E11" s="23" t="s">
        <v>8</v>
      </c>
      <c r="F11" s="23" t="s">
        <v>11</v>
      </c>
      <c r="G11" s="23">
        <v>2</v>
      </c>
      <c r="H11" s="33">
        <v>230000</v>
      </c>
      <c r="I11" s="23" t="str">
        <f>IF(AND(ISNUMBER(MATCH(C11, Discount_Product_Apply!$B$2:$B$30, 0)), G11&gt;=3, Order!G11&gt;=DATE(2025,7,1), Order!G11&lt;=DATE(2025,7,11)), "DIS_004", "")</f>
        <v/>
      </c>
      <c r="J11" s="33">
        <f t="shared" si="0"/>
        <v>460000</v>
      </c>
    </row>
    <row r="12" spans="1:10" x14ac:dyDescent="0.35">
      <c r="A12">
        <v>11</v>
      </c>
      <c r="B12" s="23" t="s">
        <v>807</v>
      </c>
      <c r="C12" s="23" t="s">
        <v>497</v>
      </c>
      <c r="D12" s="23" t="s">
        <v>416</v>
      </c>
      <c r="E12" s="23" t="s">
        <v>436</v>
      </c>
      <c r="F12" s="23" t="s">
        <v>11</v>
      </c>
      <c r="G12" s="23">
        <v>2</v>
      </c>
      <c r="H12" s="33">
        <v>180000</v>
      </c>
      <c r="I12" s="23" t="str">
        <f>IF(AND(ISNUMBER(MATCH(C12, Discount_Product_Apply!$B$2:$B$30, 0)), G12&gt;=3, Order!G12&gt;=DATE(2025,7,1), Order!G12&lt;=DATE(2025,7,11)), "DIS_004", "")</f>
        <v/>
      </c>
      <c r="J12" s="33">
        <f t="shared" si="0"/>
        <v>360000</v>
      </c>
    </row>
    <row r="13" spans="1:10" x14ac:dyDescent="0.35">
      <c r="A13">
        <v>12</v>
      </c>
      <c r="B13" s="23" t="s">
        <v>808</v>
      </c>
      <c r="C13" s="23" t="s">
        <v>512</v>
      </c>
      <c r="D13" s="23" t="s">
        <v>422</v>
      </c>
      <c r="E13" s="23" t="s">
        <v>438</v>
      </c>
      <c r="F13" s="23" t="s">
        <v>11</v>
      </c>
      <c r="G13" s="23">
        <v>1</v>
      </c>
      <c r="H13" s="33">
        <v>235000</v>
      </c>
      <c r="I13" s="23" t="str">
        <f>IF(AND(ISNUMBER(MATCH(C13, Discount_Product_Apply!$B$2:$B$30, 0)), G13&gt;=3, Order!G13&gt;=DATE(2025,7,1), Order!G13&lt;=DATE(2025,7,11)), "DIS_004", "")</f>
        <v/>
      </c>
      <c r="J13" s="33">
        <f t="shared" si="0"/>
        <v>235000</v>
      </c>
    </row>
    <row r="14" spans="1:10" x14ac:dyDescent="0.35">
      <c r="A14">
        <v>13</v>
      </c>
      <c r="B14" s="23" t="s">
        <v>809</v>
      </c>
      <c r="C14" s="23" t="s">
        <v>745</v>
      </c>
      <c r="D14" s="23" t="s">
        <v>431</v>
      </c>
      <c r="E14" s="23" t="s">
        <v>9</v>
      </c>
      <c r="F14" s="23" t="s">
        <v>11</v>
      </c>
      <c r="G14" s="23">
        <v>2</v>
      </c>
      <c r="H14" s="33">
        <v>320000</v>
      </c>
      <c r="I14" s="23" t="str">
        <f>IF(AND(ISNUMBER(MATCH(C14, Discount_Product_Apply!$B$2:$B$30, 0)), G14&gt;=3, Order!G14&gt;=DATE(2025,7,1), Order!G14&lt;=DATE(2025,7,11)), "DIS_004", "")</f>
        <v/>
      </c>
      <c r="J14" s="33">
        <f t="shared" si="0"/>
        <v>640000</v>
      </c>
    </row>
    <row r="15" spans="1:10" x14ac:dyDescent="0.35">
      <c r="A15">
        <v>14</v>
      </c>
      <c r="B15" s="23" t="s">
        <v>810</v>
      </c>
      <c r="C15" s="23" t="s">
        <v>746</v>
      </c>
      <c r="D15" s="20" t="s">
        <v>424</v>
      </c>
      <c r="E15" t="s">
        <v>8</v>
      </c>
      <c r="F15" s="20" t="s">
        <v>11</v>
      </c>
      <c r="G15" s="20">
        <v>1</v>
      </c>
      <c r="H15" s="33">
        <v>380000</v>
      </c>
      <c r="I15" s="23" t="str">
        <f>IF(AND(ISNUMBER(MATCH(C15, Discount_Product_Apply!$B$2:$B$30, 0)), G15&gt;=3, Order!G15&gt;=DATE(2025,7,1), Order!G15&lt;=DATE(2025,7,11)), "DIS_004", "")</f>
        <v/>
      </c>
      <c r="J15" s="33">
        <f t="shared" si="0"/>
        <v>380000</v>
      </c>
    </row>
    <row r="16" spans="1:10" x14ac:dyDescent="0.35">
      <c r="A16">
        <v>15</v>
      </c>
      <c r="B16" s="23" t="s">
        <v>811</v>
      </c>
      <c r="C16" s="23" t="s">
        <v>486</v>
      </c>
      <c r="D16" s="23" t="s">
        <v>406</v>
      </c>
      <c r="E16" s="23" t="s">
        <v>8</v>
      </c>
      <c r="F16" s="23" t="s">
        <v>20</v>
      </c>
      <c r="G16" s="23">
        <v>3</v>
      </c>
      <c r="H16" s="33">
        <v>230000</v>
      </c>
      <c r="I16" s="23" t="str">
        <f>IF(AND(ISNUMBER(MATCH(C16, Discount_Product_Apply!$B$2:$B$30, 0)), G16&gt;=3, Order!G16&gt;=DATE(2025,7,1), Order!G16&lt;=DATE(2025,7,11)), "DIS_004", "")</f>
        <v/>
      </c>
      <c r="J16" s="33">
        <f t="shared" si="0"/>
        <v>690000</v>
      </c>
    </row>
    <row r="17" spans="1:10" x14ac:dyDescent="0.35">
      <c r="A17">
        <v>16</v>
      </c>
      <c r="B17" s="23" t="s">
        <v>812</v>
      </c>
      <c r="C17" s="23" t="s">
        <v>488</v>
      </c>
      <c r="D17" s="23" t="s">
        <v>406</v>
      </c>
      <c r="E17" s="23" t="s">
        <v>8</v>
      </c>
      <c r="F17" s="23" t="s">
        <v>15</v>
      </c>
      <c r="G17" s="23">
        <v>2</v>
      </c>
      <c r="H17" s="33">
        <v>230000</v>
      </c>
      <c r="I17" s="23" t="str">
        <f>IF(AND(ISNUMBER(MATCH(C17, Discount_Product_Apply!$B$2:$B$30, 0)), G17&gt;=3, Order!G17&gt;=DATE(2025,7,1), Order!G17&lt;=DATE(2025,7,11)), "DIS_004", "")</f>
        <v/>
      </c>
      <c r="J17" s="33">
        <f t="shared" si="0"/>
        <v>460000</v>
      </c>
    </row>
    <row r="18" spans="1:10" x14ac:dyDescent="0.35">
      <c r="A18">
        <v>17</v>
      </c>
      <c r="B18" s="23" t="s">
        <v>812</v>
      </c>
      <c r="C18" s="23" t="s">
        <v>489</v>
      </c>
      <c r="D18" s="23" t="s">
        <v>406</v>
      </c>
      <c r="E18" s="23" t="s">
        <v>8</v>
      </c>
      <c r="F18" s="23" t="s">
        <v>12</v>
      </c>
      <c r="G18" s="23">
        <v>2</v>
      </c>
      <c r="H18" s="33">
        <v>230000</v>
      </c>
      <c r="I18" s="23" t="str">
        <f>IF(AND(ISNUMBER(MATCH(C18, Discount_Product_Apply!$B$2:$B$30, 0)), G18&gt;=3, Order!G18&gt;=DATE(2025,7,1), Order!G18&lt;=DATE(2025,7,11)), "DIS_004", "")</f>
        <v/>
      </c>
      <c r="J18" s="33">
        <f t="shared" si="0"/>
        <v>460000</v>
      </c>
    </row>
    <row r="19" spans="1:10" x14ac:dyDescent="0.35">
      <c r="A19">
        <v>18</v>
      </c>
      <c r="B19" s="23" t="s">
        <v>813</v>
      </c>
      <c r="C19" s="23" t="s">
        <v>490</v>
      </c>
      <c r="D19" s="23" t="s">
        <v>406</v>
      </c>
      <c r="E19" s="23" t="s">
        <v>8</v>
      </c>
      <c r="F19" s="23" t="s">
        <v>19</v>
      </c>
      <c r="G19" s="23">
        <v>6</v>
      </c>
      <c r="H19" s="33">
        <v>230000</v>
      </c>
      <c r="I19" s="23" t="str">
        <f>IF(AND(ISNUMBER(MATCH(C19, Discount_Product_Apply!$B$2:$B$30, 0)), G19&gt;=3, Order!G19&gt;=DATE(2025,7,1), Order!G19&lt;=DATE(2025,7,11)), "DIS_004", "")</f>
        <v/>
      </c>
      <c r="J19" s="33">
        <f t="shared" si="0"/>
        <v>1380000</v>
      </c>
    </row>
    <row r="20" spans="1:10" x14ac:dyDescent="0.35">
      <c r="A20">
        <v>19</v>
      </c>
      <c r="B20" s="23" t="s">
        <v>814</v>
      </c>
      <c r="C20" s="23" t="s">
        <v>491</v>
      </c>
      <c r="D20" s="23" t="s">
        <v>406</v>
      </c>
      <c r="E20" s="23" t="s">
        <v>13</v>
      </c>
      <c r="F20" s="23" t="s">
        <v>20</v>
      </c>
      <c r="G20" s="23">
        <v>2</v>
      </c>
      <c r="H20" s="33">
        <v>230000</v>
      </c>
      <c r="I20" s="23" t="str">
        <f>IF(AND(ISNUMBER(MATCH(C20, Discount_Product_Apply!$B$2:$B$30, 0)), G20&gt;=3, Order!G20&gt;=DATE(2025,7,1), Order!G20&lt;=DATE(2025,7,11)), "DIS_004", "")</f>
        <v/>
      </c>
      <c r="J20" s="33">
        <f t="shared" si="0"/>
        <v>460000</v>
      </c>
    </row>
    <row r="21" spans="1:10" x14ac:dyDescent="0.35">
      <c r="A21">
        <v>20</v>
      </c>
      <c r="B21" s="23" t="s">
        <v>814</v>
      </c>
      <c r="C21" s="23" t="s">
        <v>492</v>
      </c>
      <c r="D21" s="23" t="s">
        <v>406</v>
      </c>
      <c r="E21" s="23" t="s">
        <v>13</v>
      </c>
      <c r="F21" s="23" t="s">
        <v>11</v>
      </c>
      <c r="G21" s="23">
        <v>3</v>
      </c>
      <c r="H21" s="33">
        <v>230000</v>
      </c>
      <c r="I21" s="23" t="str">
        <f>IF(AND(ISNUMBER(MATCH(C21, Discount_Product_Apply!$B$2:$B$30, 0)), G21&gt;=3, Order!G21&gt;=DATE(2025,7,1), Order!G21&lt;=DATE(2025,7,11)), "DIS_004", "")</f>
        <v/>
      </c>
      <c r="J21" s="33">
        <f t="shared" si="0"/>
        <v>690000</v>
      </c>
    </row>
    <row r="22" spans="1:10" ht="15" customHeight="1" x14ac:dyDescent="0.35">
      <c r="A22">
        <v>21</v>
      </c>
      <c r="B22" s="23" t="s">
        <v>815</v>
      </c>
      <c r="C22" s="23" t="s">
        <v>493</v>
      </c>
      <c r="D22" s="23" t="s">
        <v>406</v>
      </c>
      <c r="E22" s="23" t="s">
        <v>13</v>
      </c>
      <c r="F22" s="23" t="s">
        <v>15</v>
      </c>
      <c r="G22" s="23">
        <v>1</v>
      </c>
      <c r="H22" s="33">
        <v>230000</v>
      </c>
      <c r="I22" s="23" t="str">
        <f>IF(AND(ISNUMBER(MATCH(C22, Discount_Product_Apply!$B$2:$B$30, 0)), G22&gt;=3, Order!G22&gt;=DATE(2025,7,1), Order!G22&lt;=DATE(2025,7,11)), "DIS_004", "")</f>
        <v/>
      </c>
      <c r="J22" s="33">
        <f t="shared" si="0"/>
        <v>230000</v>
      </c>
    </row>
    <row r="23" spans="1:10" x14ac:dyDescent="0.35">
      <c r="A23">
        <v>22</v>
      </c>
      <c r="B23" s="23" t="s">
        <v>815</v>
      </c>
      <c r="C23" s="23" t="s">
        <v>494</v>
      </c>
      <c r="D23" s="23" t="s">
        <v>406</v>
      </c>
      <c r="E23" s="23" t="s">
        <v>13</v>
      </c>
      <c r="F23" s="23" t="s">
        <v>12</v>
      </c>
      <c r="G23" s="23">
        <v>3</v>
      </c>
      <c r="H23" s="33">
        <v>230000</v>
      </c>
      <c r="I23" s="23" t="str">
        <f>IF(AND(ISNUMBER(MATCH(C23, Discount_Product_Apply!$B$2:$B$30, 0)), G23&gt;=3, Order!G23&gt;=DATE(2025,7,1), Order!G23&lt;=DATE(2025,7,11)), "DIS_004", "")</f>
        <v/>
      </c>
      <c r="J23" s="33">
        <f t="shared" si="0"/>
        <v>690000</v>
      </c>
    </row>
    <row r="24" spans="1:10" x14ac:dyDescent="0.35">
      <c r="A24">
        <v>23</v>
      </c>
      <c r="B24" s="23" t="s">
        <v>816</v>
      </c>
      <c r="C24" s="23" t="s">
        <v>495</v>
      </c>
      <c r="D24" s="23" t="s">
        <v>406</v>
      </c>
      <c r="E24" s="23" t="s">
        <v>13</v>
      </c>
      <c r="F24" s="23" t="s">
        <v>19</v>
      </c>
      <c r="G24" s="23">
        <v>2</v>
      </c>
      <c r="H24" s="33">
        <v>230000</v>
      </c>
      <c r="I24" s="23" t="str">
        <f>IF(AND(ISNUMBER(MATCH(C24, Discount_Product_Apply!$B$2:$B$30, 0)), G24&gt;=3, Order!G24&gt;=DATE(2025,7,1), Order!G24&lt;=DATE(2025,7,11)), "DIS_004", "")</f>
        <v/>
      </c>
      <c r="J24" s="33">
        <f t="shared" si="0"/>
        <v>460000</v>
      </c>
    </row>
    <row r="25" spans="1:10" x14ac:dyDescent="0.35">
      <c r="A25">
        <v>24</v>
      </c>
      <c r="B25" s="23" t="s">
        <v>816</v>
      </c>
      <c r="C25" s="23" t="s">
        <v>511</v>
      </c>
      <c r="D25" s="23" t="s">
        <v>422</v>
      </c>
      <c r="E25" s="23" t="s">
        <v>438</v>
      </c>
      <c r="F25" s="23" t="s">
        <v>20</v>
      </c>
      <c r="G25" s="23">
        <v>3</v>
      </c>
      <c r="H25" s="33">
        <v>235000</v>
      </c>
      <c r="I25" s="23" t="str">
        <f>IF(AND(ISNUMBER(MATCH(C25, Discount_Product_Apply!$B$2:$B$30, 0)), G25&gt;=3, Order!G25&gt;=DATE(2025,7,1), Order!G25&lt;=DATE(2025,7,11)), "DIS_004", "")</f>
        <v/>
      </c>
      <c r="J25" s="33">
        <f t="shared" si="0"/>
        <v>705000</v>
      </c>
    </row>
    <row r="26" spans="1:10" x14ac:dyDescent="0.35">
      <c r="A26">
        <v>25</v>
      </c>
      <c r="B26" s="23" t="s">
        <v>817</v>
      </c>
      <c r="C26" s="23" t="s">
        <v>512</v>
      </c>
      <c r="D26" s="23" t="s">
        <v>422</v>
      </c>
      <c r="E26" s="23" t="s">
        <v>438</v>
      </c>
      <c r="F26" s="23" t="s">
        <v>11</v>
      </c>
      <c r="G26" s="23">
        <v>3</v>
      </c>
      <c r="H26" s="33">
        <v>235000</v>
      </c>
      <c r="I26" s="23" t="str">
        <f>IF(AND(ISNUMBER(MATCH(C26, Discount_Product_Apply!$B$2:$B$30, 0)), G26&gt;=3, Order!G26&gt;=DATE(2025,7,1), Order!G26&lt;=DATE(2025,7,11)), "DIS_004", "")</f>
        <v/>
      </c>
      <c r="J26" s="33">
        <f t="shared" si="0"/>
        <v>705000</v>
      </c>
    </row>
    <row r="27" spans="1:10" x14ac:dyDescent="0.35">
      <c r="A27">
        <v>26</v>
      </c>
      <c r="B27" s="23" t="s">
        <v>817</v>
      </c>
      <c r="C27" s="23" t="s">
        <v>513</v>
      </c>
      <c r="D27" s="23" t="s">
        <v>422</v>
      </c>
      <c r="E27" s="23" t="s">
        <v>438</v>
      </c>
      <c r="F27" s="23" t="s">
        <v>15</v>
      </c>
      <c r="G27" s="23">
        <v>2</v>
      </c>
      <c r="H27" s="33">
        <v>235000</v>
      </c>
      <c r="I27" s="23" t="str">
        <f>IF(AND(ISNUMBER(MATCH(C27, Discount_Product_Apply!$B$2:$B$30, 0)), G27&gt;=3, Order!G27&gt;=DATE(2025,7,1), Order!G27&lt;=DATE(2025,7,11)), "DIS_004", "")</f>
        <v/>
      </c>
      <c r="J27" s="33">
        <f t="shared" si="0"/>
        <v>470000</v>
      </c>
    </row>
    <row r="28" spans="1:10" x14ac:dyDescent="0.35">
      <c r="A28">
        <v>27</v>
      </c>
      <c r="B28" s="23" t="s">
        <v>818</v>
      </c>
      <c r="C28" s="23" t="s">
        <v>514</v>
      </c>
      <c r="D28" s="23" t="s">
        <v>422</v>
      </c>
      <c r="E28" s="23" t="s">
        <v>438</v>
      </c>
      <c r="F28" s="23" t="s">
        <v>12</v>
      </c>
      <c r="G28" s="23">
        <v>3</v>
      </c>
      <c r="H28" s="33">
        <v>235000</v>
      </c>
      <c r="I28" s="23" t="str">
        <f>IF(AND(ISNUMBER(MATCH(C28, Discount_Product_Apply!$B$2:$B$30, 0)), G28&gt;=3, Order!G28&gt;=DATE(2025,7,1), Order!G28&lt;=DATE(2025,7,11)), "DIS_004", "")</f>
        <v/>
      </c>
      <c r="J28" s="33">
        <f t="shared" si="0"/>
        <v>705000</v>
      </c>
    </row>
    <row r="29" spans="1:10" x14ac:dyDescent="0.35">
      <c r="A29">
        <v>28</v>
      </c>
      <c r="B29" s="23" t="s">
        <v>818</v>
      </c>
      <c r="C29" s="23" t="s">
        <v>515</v>
      </c>
      <c r="D29" s="23" t="s">
        <v>422</v>
      </c>
      <c r="E29" s="23" t="s">
        <v>438</v>
      </c>
      <c r="F29" s="23" t="s">
        <v>19</v>
      </c>
      <c r="G29" s="23">
        <v>1</v>
      </c>
      <c r="H29" s="33">
        <v>235000</v>
      </c>
      <c r="I29" s="23" t="str">
        <f>IF(AND(ISNUMBER(MATCH(C29, Discount_Product_Apply!$B$2:$B$30, 0)), G29&gt;=3, Order!G29&gt;=DATE(2025,7,1), Order!G29&lt;=DATE(2025,7,11)), "DIS_004", "")</f>
        <v/>
      </c>
      <c r="J29" s="33">
        <f t="shared" si="0"/>
        <v>235000</v>
      </c>
    </row>
    <row r="30" spans="1:10" x14ac:dyDescent="0.35">
      <c r="A30">
        <v>29</v>
      </c>
      <c r="B30" s="23" t="s">
        <v>819</v>
      </c>
      <c r="C30" s="23" t="s">
        <v>516</v>
      </c>
      <c r="D30" s="23" t="s">
        <v>422</v>
      </c>
      <c r="E30" s="23" t="s">
        <v>8</v>
      </c>
      <c r="F30" s="23" t="s">
        <v>20</v>
      </c>
      <c r="G30" s="23">
        <v>3</v>
      </c>
      <c r="H30" s="33">
        <v>235000</v>
      </c>
      <c r="I30" s="23" t="str">
        <f>IF(AND(ISNUMBER(MATCH(C30, Discount_Product_Apply!$B$2:$B$30, 0)), G30&gt;=3, Order!G30&gt;=DATE(2025,7,1), Order!G30&lt;=DATE(2025,7,11)), "DIS_004", "")</f>
        <v/>
      </c>
      <c r="J30" s="33">
        <f t="shared" si="0"/>
        <v>705000</v>
      </c>
    </row>
    <row r="31" spans="1:10" x14ac:dyDescent="0.35">
      <c r="A31">
        <v>30</v>
      </c>
      <c r="B31" s="23" t="s">
        <v>819</v>
      </c>
      <c r="C31" s="23" t="s">
        <v>536</v>
      </c>
      <c r="D31" s="23" t="s">
        <v>422</v>
      </c>
      <c r="E31" s="23" t="s">
        <v>8</v>
      </c>
      <c r="F31" s="23" t="s">
        <v>11</v>
      </c>
      <c r="G31" s="23">
        <v>2</v>
      </c>
      <c r="H31" s="33">
        <v>235000</v>
      </c>
      <c r="I31" s="23" t="str">
        <f>IF(AND(ISNUMBER(MATCH(C31, Discount_Product_Apply!$B$2:$B$30, 0)), G31&gt;=3, Order!G31&gt;=DATE(2025,7,1), Order!G31&lt;=DATE(2025,7,11)), "DIS_004", "")</f>
        <v/>
      </c>
      <c r="J31" s="33">
        <f t="shared" si="0"/>
        <v>470000</v>
      </c>
    </row>
    <row r="32" spans="1:10" x14ac:dyDescent="0.35">
      <c r="A32">
        <v>31</v>
      </c>
      <c r="B32" s="23" t="s">
        <v>821</v>
      </c>
      <c r="C32" s="23" t="s">
        <v>537</v>
      </c>
      <c r="D32" s="23" t="s">
        <v>422</v>
      </c>
      <c r="E32" s="23" t="s">
        <v>8</v>
      </c>
      <c r="F32" s="23" t="s">
        <v>15</v>
      </c>
      <c r="G32" s="23">
        <v>3</v>
      </c>
      <c r="H32" s="33">
        <v>235000</v>
      </c>
      <c r="I32" s="23" t="str">
        <f>IF(AND(ISNUMBER(MATCH(C32, Discount_Product_Apply!$B$2:$B$30, 0)), G32&gt;=3, Order!G32&gt;=DATE(2025,7,1), Order!G32&lt;=DATE(2025,7,11)), "DIS_004", "")</f>
        <v/>
      </c>
      <c r="J32" s="33">
        <f t="shared" si="0"/>
        <v>705000</v>
      </c>
    </row>
    <row r="33" spans="1:10" x14ac:dyDescent="0.35">
      <c r="A33">
        <v>32</v>
      </c>
      <c r="B33" s="23" t="s">
        <v>821</v>
      </c>
      <c r="C33" s="23" t="s">
        <v>538</v>
      </c>
      <c r="D33" s="23" t="s">
        <v>422</v>
      </c>
      <c r="E33" s="23" t="s">
        <v>8</v>
      </c>
      <c r="F33" s="23" t="s">
        <v>12</v>
      </c>
      <c r="G33" s="23">
        <v>1</v>
      </c>
      <c r="H33" s="33">
        <v>235000</v>
      </c>
      <c r="I33" s="23" t="str">
        <f>IF(AND(ISNUMBER(MATCH(C33, Discount_Product_Apply!$B$2:$B$30, 0)), G33&gt;=3, Order!G33&gt;=DATE(2025,7,1), Order!G33&lt;=DATE(2025,7,11)), "DIS_004", "")</f>
        <v/>
      </c>
      <c r="J33" s="33">
        <f t="shared" si="0"/>
        <v>235000</v>
      </c>
    </row>
    <row r="34" spans="1:10" x14ac:dyDescent="0.35">
      <c r="A34">
        <v>33</v>
      </c>
      <c r="B34" s="23" t="s">
        <v>822</v>
      </c>
      <c r="C34" s="23" t="s">
        <v>596</v>
      </c>
      <c r="D34" s="20" t="s">
        <v>449</v>
      </c>
      <c r="E34" s="23" t="s">
        <v>8</v>
      </c>
      <c r="F34" s="23" t="s">
        <v>15</v>
      </c>
      <c r="G34" s="23">
        <v>3</v>
      </c>
      <c r="H34" s="33">
        <v>230000</v>
      </c>
      <c r="I34" s="23" t="str">
        <f>IF(AND(ISNUMBER(MATCH(C34, Discount_Product_Apply!$B$2:$B$30, 0)), G34&gt;=3, Order!G34&gt;=DATE(2025,7,1), Order!G34&lt;=DATE(2025,7,11)), "DIS_004", "")</f>
        <v/>
      </c>
      <c r="J34" s="33">
        <f t="shared" ref="J34:J65" si="1">IF(I34="DIS_004", INT(G34/3)*500000 + MOD(G34,3)*H34, H34*G34)</f>
        <v>690000</v>
      </c>
    </row>
    <row r="35" spans="1:10" x14ac:dyDescent="0.35">
      <c r="A35">
        <v>34</v>
      </c>
      <c r="B35" s="23" t="s">
        <v>822</v>
      </c>
      <c r="C35" s="23" t="s">
        <v>594</v>
      </c>
      <c r="D35" s="20" t="s">
        <v>449</v>
      </c>
      <c r="E35" s="23" t="s">
        <v>8</v>
      </c>
      <c r="F35" s="23" t="s">
        <v>20</v>
      </c>
      <c r="G35" s="23">
        <v>2</v>
      </c>
      <c r="H35" s="33">
        <v>230000</v>
      </c>
      <c r="I35" s="23" t="str">
        <f>IF(AND(ISNUMBER(MATCH(C35, Discount_Product_Apply!$B$2:$B$30, 0)), G35&gt;=3, Order!G35&gt;=DATE(2025,7,1), Order!G35&lt;=DATE(2025,7,11)), "DIS_004", "")</f>
        <v/>
      </c>
      <c r="J35" s="33">
        <f t="shared" si="1"/>
        <v>460000</v>
      </c>
    </row>
    <row r="36" spans="1:10" x14ac:dyDescent="0.35">
      <c r="A36">
        <v>35</v>
      </c>
      <c r="B36" s="23" t="s">
        <v>823</v>
      </c>
      <c r="C36" t="s">
        <v>598</v>
      </c>
      <c r="D36" s="20" t="s">
        <v>449</v>
      </c>
      <c r="E36" s="23" t="s">
        <v>30</v>
      </c>
      <c r="F36" s="23" t="s">
        <v>11</v>
      </c>
      <c r="G36" s="23">
        <v>3</v>
      </c>
      <c r="H36" s="33">
        <v>230000</v>
      </c>
      <c r="I36" s="23" t="str">
        <f>IF(AND(ISNUMBER(MATCH(C36, Discount_Product_Apply!$B$2:$B$30, 0)), G36&gt;=3, Order!G36&gt;=DATE(2025,7,1), Order!G36&lt;=DATE(2025,7,11)), "DIS_004", "")</f>
        <v/>
      </c>
      <c r="J36" s="33">
        <f t="shared" si="1"/>
        <v>690000</v>
      </c>
    </row>
    <row r="37" spans="1:10" x14ac:dyDescent="0.35">
      <c r="A37">
        <v>36</v>
      </c>
      <c r="B37" s="23" t="s">
        <v>823</v>
      </c>
      <c r="C37" t="s">
        <v>599</v>
      </c>
      <c r="D37" s="20" t="s">
        <v>449</v>
      </c>
      <c r="E37" s="23" t="s">
        <v>30</v>
      </c>
      <c r="F37" s="23" t="s">
        <v>15</v>
      </c>
      <c r="G37" s="23">
        <v>1</v>
      </c>
      <c r="H37" s="33">
        <v>230000</v>
      </c>
      <c r="I37" s="23" t="str">
        <f>IF(AND(ISNUMBER(MATCH(C37, Discount_Product_Apply!$B$2:$B$30, 0)), G37&gt;=3, Order!G37&gt;=DATE(2025,7,1), Order!G37&lt;=DATE(2025,7,11)), "DIS_004", "")</f>
        <v/>
      </c>
      <c r="J37" s="33">
        <f t="shared" si="1"/>
        <v>230000</v>
      </c>
    </row>
    <row r="38" spans="1:10" x14ac:dyDescent="0.35">
      <c r="A38">
        <v>37</v>
      </c>
      <c r="B38" s="23" t="s">
        <v>824</v>
      </c>
      <c r="C38" t="s">
        <v>761</v>
      </c>
      <c r="D38" s="19" t="s">
        <v>459</v>
      </c>
      <c r="E38" s="23" t="s">
        <v>460</v>
      </c>
      <c r="F38" s="23" t="s">
        <v>15</v>
      </c>
      <c r="G38" s="23">
        <v>3</v>
      </c>
      <c r="H38" s="33">
        <v>235000</v>
      </c>
      <c r="I38" s="23" t="str">
        <f>IF(AND(ISNUMBER(MATCH(C38, Discount_Product_Apply!$B$2:$B$30, 0)), G38&gt;=3, Order!G38&gt;=DATE(2025,7,1), Order!G38&lt;=DATE(2025,7,11)), "DIS_004", "")</f>
        <v/>
      </c>
      <c r="J38" s="33">
        <f t="shared" si="1"/>
        <v>705000</v>
      </c>
    </row>
    <row r="39" spans="1:10" x14ac:dyDescent="0.35">
      <c r="A39">
        <v>38</v>
      </c>
      <c r="B39" s="23" t="s">
        <v>824</v>
      </c>
      <c r="C39" s="23" t="s">
        <v>764</v>
      </c>
      <c r="D39" s="19" t="s">
        <v>459</v>
      </c>
      <c r="E39" s="23" t="s">
        <v>461</v>
      </c>
      <c r="F39" s="23" t="s">
        <v>15</v>
      </c>
      <c r="G39" s="23">
        <v>2</v>
      </c>
      <c r="H39" s="33">
        <v>235000</v>
      </c>
      <c r="I39" s="23" t="str">
        <f>IF(AND(ISNUMBER(MATCH(C39, Discount_Product_Apply!$B$2:$B$30, 0)), G39&gt;=3, Order!G39&gt;=DATE(2025,7,1), Order!G39&lt;=DATE(2025,7,11)), "DIS_004", "")</f>
        <v/>
      </c>
      <c r="J39" s="33">
        <f t="shared" si="1"/>
        <v>470000</v>
      </c>
    </row>
    <row r="40" spans="1:10" x14ac:dyDescent="0.35">
      <c r="A40">
        <v>39</v>
      </c>
      <c r="B40" s="23" t="s">
        <v>825</v>
      </c>
      <c r="C40" t="s">
        <v>760</v>
      </c>
      <c r="D40" s="19" t="s">
        <v>459</v>
      </c>
      <c r="E40" s="23" t="s">
        <v>460</v>
      </c>
      <c r="F40" s="23" t="s">
        <v>11</v>
      </c>
      <c r="G40" s="23">
        <v>3</v>
      </c>
      <c r="H40" s="33">
        <v>235000</v>
      </c>
      <c r="I40" s="23" t="str">
        <f>IF(AND(ISNUMBER(MATCH(C40, Discount_Product_Apply!$B$2:$B$30, 0)), G40&gt;=3, Order!G40&gt;=DATE(2025,7,1), Order!G40&lt;=DATE(2025,7,11)), "DIS_004", "")</f>
        <v/>
      </c>
      <c r="J40" s="33">
        <f t="shared" si="1"/>
        <v>705000</v>
      </c>
    </row>
    <row r="41" spans="1:10" x14ac:dyDescent="0.35">
      <c r="A41">
        <v>40</v>
      </c>
      <c r="B41" s="23" t="s">
        <v>825</v>
      </c>
      <c r="C41" s="23" t="s">
        <v>462</v>
      </c>
      <c r="D41" s="23" t="s">
        <v>7</v>
      </c>
      <c r="E41" s="23" t="s">
        <v>8</v>
      </c>
      <c r="F41" s="23" t="s">
        <v>31</v>
      </c>
      <c r="G41" s="23">
        <v>1</v>
      </c>
      <c r="H41" s="33">
        <v>250000</v>
      </c>
      <c r="I41" s="23" t="str">
        <f>IF(AND(ISNUMBER(MATCH(C41, Discount_Product_Apply!$B$2:$B$30, 0)), G41&gt;=3, Order!G41&gt;=DATE(2025,7,1), Order!G41&lt;=DATE(2025,7,11)), "DIS_004", "")</f>
        <v/>
      </c>
      <c r="J41" s="33">
        <f t="shared" si="1"/>
        <v>250000</v>
      </c>
    </row>
    <row r="42" spans="1:10" x14ac:dyDescent="0.35">
      <c r="A42">
        <v>41</v>
      </c>
      <c r="B42" s="23" t="s">
        <v>826</v>
      </c>
      <c r="C42" s="23" t="s">
        <v>463</v>
      </c>
      <c r="D42" s="23" t="s">
        <v>7</v>
      </c>
      <c r="E42" s="23" t="s">
        <v>8</v>
      </c>
      <c r="F42" s="23" t="s">
        <v>20</v>
      </c>
      <c r="G42" s="23">
        <v>3</v>
      </c>
      <c r="H42" s="33">
        <v>250000</v>
      </c>
      <c r="I42" s="23" t="str">
        <f>IF(AND(ISNUMBER(MATCH(C42, Discount_Product_Apply!$B$2:$B$30, 0)), G42&gt;=3, Order!G42&gt;=DATE(2025,7,1), Order!G42&lt;=DATE(2025,7,11)), "DIS_004", "")</f>
        <v/>
      </c>
      <c r="J42" s="33">
        <f t="shared" si="1"/>
        <v>750000</v>
      </c>
    </row>
    <row r="43" spans="1:10" x14ac:dyDescent="0.35">
      <c r="A43">
        <v>42</v>
      </c>
      <c r="B43" s="23" t="s">
        <v>826</v>
      </c>
      <c r="C43" s="23" t="s">
        <v>464</v>
      </c>
      <c r="D43" s="23" t="s">
        <v>7</v>
      </c>
      <c r="E43" s="23" t="s">
        <v>8</v>
      </c>
      <c r="F43" s="23" t="s">
        <v>11</v>
      </c>
      <c r="G43" s="23">
        <v>2</v>
      </c>
      <c r="H43" s="33">
        <v>250000</v>
      </c>
      <c r="I43" s="23" t="str">
        <f>IF(AND(ISNUMBER(MATCH(C43, Discount_Product_Apply!$B$2:$B$30, 0)), G43&gt;=3, Order!G43&gt;=DATE(2025,7,1), Order!G43&lt;=DATE(2025,7,11)), "DIS_004", "")</f>
        <v/>
      </c>
      <c r="J43" s="33">
        <f t="shared" si="1"/>
        <v>500000</v>
      </c>
    </row>
    <row r="44" spans="1:10" x14ac:dyDescent="0.35">
      <c r="A44">
        <v>43</v>
      </c>
      <c r="B44" s="23" t="s">
        <v>827</v>
      </c>
      <c r="C44" s="23" t="s">
        <v>465</v>
      </c>
      <c r="D44" s="23" t="s">
        <v>7</v>
      </c>
      <c r="E44" s="23" t="s">
        <v>8</v>
      </c>
      <c r="F44" s="23" t="s">
        <v>15</v>
      </c>
      <c r="G44" s="23">
        <v>3</v>
      </c>
      <c r="H44" s="33">
        <v>250000</v>
      </c>
      <c r="I44" s="23" t="str">
        <f>IF(AND(ISNUMBER(MATCH(C44, Discount_Product_Apply!$B$2:$B$30, 0)), G44&gt;=3, Order!G44&gt;=DATE(2025,7,1), Order!G44&lt;=DATE(2025,7,11)), "DIS_004", "")</f>
        <v/>
      </c>
      <c r="J44" s="33">
        <f t="shared" si="1"/>
        <v>750000</v>
      </c>
    </row>
    <row r="45" spans="1:10" x14ac:dyDescent="0.35">
      <c r="A45">
        <v>44</v>
      </c>
      <c r="B45" s="23" t="s">
        <v>827</v>
      </c>
      <c r="C45" s="23" t="s">
        <v>466</v>
      </c>
      <c r="D45" s="23" t="s">
        <v>421</v>
      </c>
      <c r="E45" s="23" t="s">
        <v>13</v>
      </c>
      <c r="F45" s="23" t="s">
        <v>20</v>
      </c>
      <c r="G45" s="23">
        <v>2</v>
      </c>
      <c r="H45" s="33">
        <v>200000</v>
      </c>
      <c r="I45" s="23" t="str">
        <f>IF(AND(ISNUMBER(MATCH(C45, Discount_Product_Apply!$B$2:$B$30, 0)), G45&gt;=3, Order!G45&gt;=DATE(2025,7,1), Order!G45&lt;=DATE(2025,7,11)), "DIS_004", "")</f>
        <v/>
      </c>
      <c r="J45" s="33">
        <f t="shared" si="1"/>
        <v>400000</v>
      </c>
    </row>
    <row r="46" spans="1:10" x14ac:dyDescent="0.35">
      <c r="A46">
        <v>45</v>
      </c>
      <c r="B46" s="23" t="s">
        <v>827</v>
      </c>
      <c r="C46" s="23" t="s">
        <v>467</v>
      </c>
      <c r="D46" s="23" t="s">
        <v>421</v>
      </c>
      <c r="E46" s="23" t="s">
        <v>13</v>
      </c>
      <c r="F46" s="23" t="s">
        <v>11</v>
      </c>
      <c r="G46" s="23">
        <v>3</v>
      </c>
      <c r="H46" s="33">
        <v>200000</v>
      </c>
      <c r="I46" s="23" t="str">
        <f>IF(AND(ISNUMBER(MATCH(C46, Discount_Product_Apply!$B$2:$B$30, 0)), G46&gt;=3, Order!G46&gt;=DATE(2025,7,1), Order!G46&lt;=DATE(2025,7,11)), "DIS_004", "")</f>
        <v/>
      </c>
      <c r="J46" s="33">
        <f t="shared" si="1"/>
        <v>600000</v>
      </c>
    </row>
    <row r="47" spans="1:10" x14ac:dyDescent="0.35">
      <c r="A47">
        <v>46</v>
      </c>
      <c r="B47" s="23" t="s">
        <v>828</v>
      </c>
      <c r="C47" s="23" t="s">
        <v>468</v>
      </c>
      <c r="D47" s="23" t="s">
        <v>421</v>
      </c>
      <c r="E47" s="23" t="s">
        <v>13</v>
      </c>
      <c r="F47" s="23" t="s">
        <v>15</v>
      </c>
      <c r="G47" s="23">
        <v>1</v>
      </c>
      <c r="H47" s="33">
        <v>200000</v>
      </c>
      <c r="I47" s="23" t="str">
        <f>IF(AND(ISNUMBER(MATCH(C47, Discount_Product_Apply!$B$2:$B$30, 0)), G47&gt;=3, Order!G47&gt;=DATE(2025,7,1), Order!G47&lt;=DATE(2025,7,11)), "DIS_004", "")</f>
        <v/>
      </c>
      <c r="J47" s="33">
        <f t="shared" si="1"/>
        <v>200000</v>
      </c>
    </row>
    <row r="48" spans="1:10" x14ac:dyDescent="0.35">
      <c r="A48">
        <v>47</v>
      </c>
      <c r="B48" s="23" t="s">
        <v>828</v>
      </c>
      <c r="C48" s="23" t="s">
        <v>469</v>
      </c>
      <c r="D48" s="23" t="s">
        <v>421</v>
      </c>
      <c r="E48" s="23" t="s">
        <v>13</v>
      </c>
      <c r="F48" s="23" t="s">
        <v>12</v>
      </c>
      <c r="G48" s="23">
        <v>3</v>
      </c>
      <c r="H48" s="33">
        <v>200000</v>
      </c>
      <c r="I48" s="23" t="str">
        <f>IF(AND(ISNUMBER(MATCH(C48, Discount_Product_Apply!$B$2:$B$30, 0)), G48&gt;=3, Order!G48&gt;=DATE(2025,7,1), Order!G48&lt;=DATE(2025,7,11)), "DIS_004", "")</f>
        <v/>
      </c>
      <c r="J48" s="33">
        <f t="shared" si="1"/>
        <v>600000</v>
      </c>
    </row>
    <row r="49" spans="1:10" x14ac:dyDescent="0.35">
      <c r="A49">
        <v>48</v>
      </c>
      <c r="B49" s="23" t="s">
        <v>829</v>
      </c>
      <c r="C49" s="23" t="s">
        <v>470</v>
      </c>
      <c r="D49" s="23" t="s">
        <v>421</v>
      </c>
      <c r="E49" s="23" t="s">
        <v>13</v>
      </c>
      <c r="F49" s="23" t="s">
        <v>19</v>
      </c>
      <c r="G49" s="23">
        <v>2</v>
      </c>
      <c r="H49" s="33">
        <v>200000</v>
      </c>
      <c r="I49" s="23" t="str">
        <f>IF(AND(ISNUMBER(MATCH(C49, Discount_Product_Apply!$B$2:$B$30, 0)), G49&gt;=3, Order!G49&gt;=DATE(2025,7,1), Order!G49&lt;=DATE(2025,7,11)), "DIS_004", "")</f>
        <v/>
      </c>
      <c r="J49" s="33">
        <f t="shared" si="1"/>
        <v>400000</v>
      </c>
    </row>
    <row r="50" spans="1:10" x14ac:dyDescent="0.35">
      <c r="A50">
        <v>49</v>
      </c>
      <c r="B50" s="23" t="s">
        <v>829</v>
      </c>
      <c r="C50" s="23" t="s">
        <v>471</v>
      </c>
      <c r="D50" s="23" t="s">
        <v>421</v>
      </c>
      <c r="E50" s="23" t="s">
        <v>434</v>
      </c>
      <c r="F50" s="23" t="s">
        <v>20</v>
      </c>
      <c r="G50" s="23">
        <v>3</v>
      </c>
      <c r="H50" s="33">
        <v>200000</v>
      </c>
      <c r="I50" s="23" t="str">
        <f>IF(AND(ISNUMBER(MATCH(C50, Discount_Product_Apply!$B$2:$B$30, 0)), G50&gt;=3, Order!G50&gt;=DATE(2025,7,1), Order!G50&lt;=DATE(2025,7,11)), "DIS_004", "")</f>
        <v/>
      </c>
      <c r="J50" s="33">
        <f t="shared" si="1"/>
        <v>600000</v>
      </c>
    </row>
    <row r="51" spans="1:10" x14ac:dyDescent="0.35">
      <c r="A51">
        <v>50</v>
      </c>
      <c r="B51" s="23" t="s">
        <v>830</v>
      </c>
      <c r="C51" s="23" t="s">
        <v>472</v>
      </c>
      <c r="D51" s="23" t="s">
        <v>421</v>
      </c>
      <c r="E51" s="23" t="s">
        <v>434</v>
      </c>
      <c r="F51" s="23" t="s">
        <v>11</v>
      </c>
      <c r="G51" s="23">
        <v>1</v>
      </c>
      <c r="H51" s="33">
        <v>200000</v>
      </c>
      <c r="I51" s="23" t="str">
        <f>IF(AND(ISNUMBER(MATCH(C51, Discount_Product_Apply!$B$2:$B$30, 0)), G51&gt;=3, Order!G51&gt;=DATE(2025,7,1), Order!G51&lt;=DATE(2025,7,11)), "DIS_004", "")</f>
        <v/>
      </c>
      <c r="J51" s="33">
        <f t="shared" si="1"/>
        <v>200000</v>
      </c>
    </row>
    <row r="52" spans="1:10" x14ac:dyDescent="0.35">
      <c r="A52">
        <v>51</v>
      </c>
      <c r="B52" s="23" t="s">
        <v>830</v>
      </c>
      <c r="C52" s="23" t="s">
        <v>473</v>
      </c>
      <c r="D52" s="23" t="s">
        <v>421</v>
      </c>
      <c r="E52" s="23" t="s">
        <v>434</v>
      </c>
      <c r="F52" s="23" t="s">
        <v>15</v>
      </c>
      <c r="G52" s="23">
        <v>2</v>
      </c>
      <c r="H52" s="33">
        <v>200000</v>
      </c>
      <c r="I52" s="23" t="str">
        <f>IF(AND(ISNUMBER(MATCH(C52, Discount_Product_Apply!$B$2:$B$30, 0)), G52&gt;=3, Order!G52&gt;=DATE(2025,7,1), Order!G52&lt;=DATE(2025,7,11)), "DIS_004", "")</f>
        <v/>
      </c>
      <c r="J52" s="33">
        <f t="shared" si="1"/>
        <v>400000</v>
      </c>
    </row>
    <row r="53" spans="1:10" x14ac:dyDescent="0.35">
      <c r="A53">
        <v>52</v>
      </c>
      <c r="B53" s="23" t="s">
        <v>831</v>
      </c>
      <c r="C53" s="23" t="s">
        <v>474</v>
      </c>
      <c r="D53" s="23" t="s">
        <v>421</v>
      </c>
      <c r="E53" s="23" t="s">
        <v>434</v>
      </c>
      <c r="F53" s="23" t="s">
        <v>12</v>
      </c>
      <c r="G53" s="23">
        <v>3</v>
      </c>
      <c r="H53" s="33">
        <v>200000</v>
      </c>
      <c r="I53" s="23" t="str">
        <f>IF(AND(ISNUMBER(MATCH(C53, Discount_Product_Apply!$B$2:$B$30, 0)), G53&gt;=3, Order!G53&gt;=DATE(2025,7,1), Order!G53&lt;=DATE(2025,7,11)), "DIS_004", "")</f>
        <v/>
      </c>
      <c r="J53" s="33">
        <f t="shared" si="1"/>
        <v>600000</v>
      </c>
    </row>
    <row r="54" spans="1:10" x14ac:dyDescent="0.35">
      <c r="A54">
        <v>53</v>
      </c>
      <c r="B54" s="23" t="s">
        <v>832</v>
      </c>
      <c r="C54" s="23" t="s">
        <v>476</v>
      </c>
      <c r="D54" s="23" t="s">
        <v>415</v>
      </c>
      <c r="E54" s="23" t="s">
        <v>435</v>
      </c>
      <c r="F54" s="23" t="s">
        <v>20</v>
      </c>
      <c r="G54" s="23">
        <v>3</v>
      </c>
      <c r="H54" s="33">
        <v>180000</v>
      </c>
      <c r="I54" s="23" t="str">
        <f>IF(AND(ISNUMBER(MATCH(C54, Discount_Product_Apply!$B$2:$B$30, 0)), G54&gt;=3, Order!G54&gt;=DATE(2025,7,1), Order!G54&lt;=DATE(2025,7,11)), "DIS_004", "")</f>
        <v/>
      </c>
      <c r="J54" s="33">
        <f t="shared" si="1"/>
        <v>540000</v>
      </c>
    </row>
    <row r="55" spans="1:10" x14ac:dyDescent="0.35">
      <c r="A55">
        <v>54</v>
      </c>
      <c r="B55" s="23" t="s">
        <v>832</v>
      </c>
      <c r="C55" s="23" t="s">
        <v>477</v>
      </c>
      <c r="D55" s="23" t="s">
        <v>415</v>
      </c>
      <c r="E55" s="23" t="s">
        <v>435</v>
      </c>
      <c r="F55" s="23" t="s">
        <v>11</v>
      </c>
      <c r="G55" s="23">
        <v>2</v>
      </c>
      <c r="H55" s="33">
        <v>180000</v>
      </c>
      <c r="I55" s="23" t="str">
        <f>IF(AND(ISNUMBER(MATCH(C55, Discount_Product_Apply!$B$2:$B$30, 0)), G55&gt;=3, Order!G55&gt;=DATE(2025,7,1), Order!G55&lt;=DATE(2025,7,11)), "DIS_004", "")</f>
        <v/>
      </c>
      <c r="J55" s="33">
        <f t="shared" si="1"/>
        <v>360000</v>
      </c>
    </row>
    <row r="56" spans="1:10" x14ac:dyDescent="0.35">
      <c r="A56">
        <v>55</v>
      </c>
      <c r="B56" s="23" t="s">
        <v>833</v>
      </c>
      <c r="C56" s="23" t="s">
        <v>478</v>
      </c>
      <c r="D56" s="23" t="s">
        <v>415</v>
      </c>
      <c r="E56" s="23" t="s">
        <v>435</v>
      </c>
      <c r="F56" s="23" t="s">
        <v>15</v>
      </c>
      <c r="G56" s="23">
        <v>3</v>
      </c>
      <c r="H56" s="33">
        <v>180000</v>
      </c>
      <c r="I56" s="23" t="str">
        <f>IF(AND(ISNUMBER(MATCH(C56, Discount_Product_Apply!$B$2:$B$30, 0)), G56&gt;=3, Order!G56&gt;=DATE(2025,7,1), Order!G56&lt;=DATE(2025,7,11)), "DIS_004", "")</f>
        <v/>
      </c>
      <c r="J56" s="33">
        <f t="shared" si="1"/>
        <v>540000</v>
      </c>
    </row>
    <row r="57" spans="1:10" x14ac:dyDescent="0.35">
      <c r="A57">
        <v>56</v>
      </c>
      <c r="B57" s="23" t="s">
        <v>833</v>
      </c>
      <c r="C57" s="23" t="s">
        <v>479</v>
      </c>
      <c r="D57" s="23" t="s">
        <v>415</v>
      </c>
      <c r="E57" s="23" t="s">
        <v>435</v>
      </c>
      <c r="F57" s="23" t="s">
        <v>12</v>
      </c>
      <c r="G57" s="23">
        <v>1</v>
      </c>
      <c r="H57" s="33">
        <v>180000</v>
      </c>
      <c r="I57" s="23" t="str">
        <f>IF(AND(ISNUMBER(MATCH(C57, Discount_Product_Apply!$B$2:$B$30, 0)), G57&gt;=3, Order!G57&gt;=DATE(2025,7,1), Order!G57&lt;=DATE(2025,7,11)), "DIS_004", "")</f>
        <v/>
      </c>
      <c r="J57" s="33">
        <f t="shared" si="1"/>
        <v>180000</v>
      </c>
    </row>
    <row r="58" spans="1:10" x14ac:dyDescent="0.35">
      <c r="A58">
        <v>57</v>
      </c>
      <c r="B58" s="23" t="s">
        <v>834</v>
      </c>
      <c r="C58" s="23" t="s">
        <v>480</v>
      </c>
      <c r="D58" s="23" t="s">
        <v>415</v>
      </c>
      <c r="E58" s="23" t="s">
        <v>435</v>
      </c>
      <c r="F58" s="23" t="s">
        <v>19</v>
      </c>
      <c r="G58" s="23">
        <v>2</v>
      </c>
      <c r="H58" s="33">
        <v>180000</v>
      </c>
      <c r="I58" s="23" t="str">
        <f>IF(AND(ISNUMBER(MATCH(C58, Discount_Product_Apply!$B$2:$B$30, 0)), G58&gt;=3, Order!G58&gt;=DATE(2025,7,1), Order!G58&lt;=DATE(2025,7,11)), "DIS_004", "")</f>
        <v/>
      </c>
      <c r="J58" s="33">
        <f t="shared" si="1"/>
        <v>360000</v>
      </c>
    </row>
    <row r="59" spans="1:10" x14ac:dyDescent="0.35">
      <c r="A59">
        <v>58</v>
      </c>
      <c r="B59" s="23" t="s">
        <v>834</v>
      </c>
      <c r="C59" s="23" t="s">
        <v>481</v>
      </c>
      <c r="D59" s="23" t="s">
        <v>415</v>
      </c>
      <c r="E59" s="23" t="s">
        <v>9</v>
      </c>
      <c r="F59" s="23" t="s">
        <v>20</v>
      </c>
      <c r="G59" s="23">
        <v>3</v>
      </c>
      <c r="H59" s="33">
        <v>180000</v>
      </c>
      <c r="I59" s="23" t="str">
        <f>IF(AND(ISNUMBER(MATCH(C59, Discount_Product_Apply!$B$2:$B$30, 0)), G59&gt;=3, Order!G59&gt;=DATE(2025,7,1), Order!G59&lt;=DATE(2025,7,11)), "DIS_004", "")</f>
        <v/>
      </c>
      <c r="J59" s="33">
        <f t="shared" si="1"/>
        <v>540000</v>
      </c>
    </row>
    <row r="60" spans="1:10" x14ac:dyDescent="0.35">
      <c r="A60">
        <v>59</v>
      </c>
      <c r="B60" s="23" t="s">
        <v>835</v>
      </c>
      <c r="C60" s="23" t="s">
        <v>482</v>
      </c>
      <c r="D60" s="23" t="s">
        <v>415</v>
      </c>
      <c r="E60" s="23" t="s">
        <v>9</v>
      </c>
      <c r="F60" s="23" t="s">
        <v>11</v>
      </c>
      <c r="G60" s="23">
        <v>1</v>
      </c>
      <c r="H60" s="33">
        <v>180000</v>
      </c>
      <c r="I60" s="23" t="str">
        <f>IF(AND(ISNUMBER(MATCH(C60, Discount_Product_Apply!$B$2:$B$30, 0)), G60&gt;=3, Order!G60&gt;=DATE(2025,7,1), Order!G60&lt;=DATE(2025,7,11)), "DIS_004", "")</f>
        <v/>
      </c>
      <c r="J60" s="33">
        <f t="shared" si="1"/>
        <v>180000</v>
      </c>
    </row>
    <row r="61" spans="1:10" x14ac:dyDescent="0.35">
      <c r="A61">
        <v>60</v>
      </c>
      <c r="B61" s="23" t="s">
        <v>835</v>
      </c>
      <c r="C61" s="23" t="s">
        <v>483</v>
      </c>
      <c r="D61" s="23" t="s">
        <v>415</v>
      </c>
      <c r="E61" s="23" t="s">
        <v>9</v>
      </c>
      <c r="F61" s="23" t="s">
        <v>15</v>
      </c>
      <c r="G61" s="23">
        <v>2</v>
      </c>
      <c r="H61" s="33">
        <v>180000</v>
      </c>
      <c r="I61" s="23" t="str">
        <f>IF(AND(ISNUMBER(MATCH(C61, Discount_Product_Apply!$B$2:$B$30, 0)), G61&gt;=3, Order!G61&gt;=DATE(2025,7,1), Order!G61&lt;=DATE(2025,7,11)), "DIS_004", "")</f>
        <v/>
      </c>
      <c r="J61" s="33">
        <f t="shared" si="1"/>
        <v>360000</v>
      </c>
    </row>
    <row r="62" spans="1:10" x14ac:dyDescent="0.35">
      <c r="A62">
        <v>61</v>
      </c>
      <c r="B62" s="23" t="s">
        <v>836</v>
      </c>
      <c r="C62" s="23" t="s">
        <v>484</v>
      </c>
      <c r="D62" s="23" t="s">
        <v>415</v>
      </c>
      <c r="E62" s="23" t="s">
        <v>9</v>
      </c>
      <c r="F62" s="23" t="s">
        <v>12</v>
      </c>
      <c r="G62" s="23">
        <v>3</v>
      </c>
      <c r="H62" s="33">
        <v>180000</v>
      </c>
      <c r="I62" s="23" t="str">
        <f>IF(AND(ISNUMBER(MATCH(C62, Discount_Product_Apply!$B$2:$B$30, 0)), G62&gt;=3, Order!G62&gt;=DATE(2025,7,1), Order!G62&lt;=DATE(2025,7,11)), "DIS_004", "")</f>
        <v/>
      </c>
      <c r="J62" s="33">
        <f t="shared" si="1"/>
        <v>540000</v>
      </c>
    </row>
    <row r="63" spans="1:10" x14ac:dyDescent="0.35">
      <c r="A63">
        <v>62</v>
      </c>
      <c r="B63" s="23" t="s">
        <v>836</v>
      </c>
      <c r="C63" s="23" t="s">
        <v>485</v>
      </c>
      <c r="D63" s="23" t="s">
        <v>415</v>
      </c>
      <c r="E63" s="23" t="s">
        <v>9</v>
      </c>
      <c r="F63" s="23" t="s">
        <v>19</v>
      </c>
      <c r="G63" s="23">
        <v>2</v>
      </c>
      <c r="H63" s="33">
        <v>180000</v>
      </c>
      <c r="I63" s="23" t="str">
        <f>IF(AND(ISNUMBER(MATCH(C63, Discount_Product_Apply!$B$2:$B$30, 0)), G63&gt;=3, Order!G63&gt;=DATE(2025,7,1), Order!G63&lt;=DATE(2025,7,11)), "DIS_004", "")</f>
        <v/>
      </c>
      <c r="J63" s="33">
        <f t="shared" si="1"/>
        <v>360000</v>
      </c>
    </row>
    <row r="64" spans="1:10" x14ac:dyDescent="0.35">
      <c r="A64">
        <v>63</v>
      </c>
      <c r="B64" s="23" t="s">
        <v>837</v>
      </c>
      <c r="C64" s="23" t="s">
        <v>487</v>
      </c>
      <c r="D64" s="20" t="s">
        <v>426</v>
      </c>
      <c r="E64" s="23" t="s">
        <v>886</v>
      </c>
      <c r="F64" s="23" t="s">
        <v>11</v>
      </c>
      <c r="G64" s="23">
        <v>4</v>
      </c>
      <c r="H64" s="33">
        <v>140000</v>
      </c>
      <c r="I64" s="23" t="str">
        <f>IF(AND(ISNUMBER(MATCH(C64, Discount_Product_Apply!$B$2:$B$30, 0)), G64&gt;=3, Order!G64&gt;=DATE(2025,7,1), Order!G64&lt;=DATE(2025,7,11)), "DIS_004", "")</f>
        <v>DIS_004</v>
      </c>
      <c r="J64" s="33">
        <f t="shared" si="1"/>
        <v>640000</v>
      </c>
    </row>
    <row r="65" spans="1:10" x14ac:dyDescent="0.35">
      <c r="A65">
        <v>64</v>
      </c>
      <c r="B65" s="23" t="s">
        <v>837</v>
      </c>
      <c r="C65" s="23" t="s">
        <v>488</v>
      </c>
      <c r="D65" s="20" t="s">
        <v>426</v>
      </c>
      <c r="E65" s="23" t="s">
        <v>886</v>
      </c>
      <c r="F65" s="23" t="s">
        <v>15</v>
      </c>
      <c r="G65" s="23">
        <v>1</v>
      </c>
      <c r="H65" s="33">
        <v>140000</v>
      </c>
      <c r="I65" s="23" t="str">
        <f>IF(AND(ISNUMBER(MATCH(C65, Discount_Product_Apply!$B$2:$B$30, 0)), G65&gt;=3, Order!G65&gt;=DATE(2025,7,1), Order!G65&lt;=DATE(2025,7,11)), "DIS_004", "")</f>
        <v/>
      </c>
      <c r="J65" s="33">
        <f t="shared" si="1"/>
        <v>140000</v>
      </c>
    </row>
    <row r="66" spans="1:10" ht="15.5" customHeight="1" x14ac:dyDescent="0.35">
      <c r="A66">
        <v>65</v>
      </c>
      <c r="B66" s="23" t="s">
        <v>838</v>
      </c>
      <c r="C66" s="23" t="s">
        <v>489</v>
      </c>
      <c r="D66" s="20" t="s">
        <v>426</v>
      </c>
      <c r="E66" s="23" t="s">
        <v>886</v>
      </c>
      <c r="F66" s="23" t="s">
        <v>12</v>
      </c>
      <c r="G66" s="23">
        <v>3</v>
      </c>
      <c r="H66" s="33">
        <v>140000</v>
      </c>
      <c r="I66" s="23" t="str">
        <f>IF(AND(ISNUMBER(MATCH(C66, Discount_Product_Apply!$B$2:$B$30, 0)), G66&gt;=3, Order!G66&gt;=DATE(2025,7,1), Order!G66&lt;=DATE(2025,7,11)), "DIS_004", "")</f>
        <v>DIS_004</v>
      </c>
      <c r="J66" s="33">
        <f t="shared" ref="J66:J80" si="2">IF(I66="DIS_004", INT(G66/3)*500000 + MOD(G66,3)*H66, H66*G66)</f>
        <v>500000</v>
      </c>
    </row>
    <row r="67" spans="1:10" x14ac:dyDescent="0.35">
      <c r="A67">
        <v>66</v>
      </c>
      <c r="B67" s="23" t="s">
        <v>838</v>
      </c>
      <c r="C67" s="23" t="s">
        <v>490</v>
      </c>
      <c r="D67" s="20" t="s">
        <v>426</v>
      </c>
      <c r="E67" s="23" t="s">
        <v>886</v>
      </c>
      <c r="F67" s="23" t="s">
        <v>19</v>
      </c>
      <c r="G67" s="23">
        <v>2</v>
      </c>
      <c r="H67" s="33">
        <v>140000</v>
      </c>
      <c r="I67" s="23" t="str">
        <f>IF(AND(ISNUMBER(MATCH(C67, Discount_Product_Apply!$B$2:$B$30, 0)), G67&gt;=3, Order!G67&gt;=DATE(2025,7,1), Order!G67&lt;=DATE(2025,7,11)), "DIS_004", "")</f>
        <v/>
      </c>
      <c r="J67" s="33">
        <f t="shared" si="2"/>
        <v>280000</v>
      </c>
    </row>
    <row r="68" spans="1:10" x14ac:dyDescent="0.35">
      <c r="A68">
        <v>67</v>
      </c>
      <c r="B68" s="23" t="s">
        <v>839</v>
      </c>
      <c r="C68" s="23" t="s">
        <v>491</v>
      </c>
      <c r="D68" s="20" t="s">
        <v>426</v>
      </c>
      <c r="E68" s="23" t="s">
        <v>30</v>
      </c>
      <c r="F68" s="23" t="s">
        <v>20</v>
      </c>
      <c r="G68" s="23">
        <v>3</v>
      </c>
      <c r="H68" s="33">
        <v>140000</v>
      </c>
      <c r="I68" s="23" t="str">
        <f>IF(AND(ISNUMBER(MATCH(C68, Discount_Product_Apply!$B$2:$B$30, 0)), G68&gt;=3, Order!G68&gt;=DATE(2025,7,1), Order!G68&lt;=DATE(2025,7,11)), "DIS_004", "")</f>
        <v>DIS_004</v>
      </c>
      <c r="J68" s="33">
        <f t="shared" si="2"/>
        <v>500000</v>
      </c>
    </row>
    <row r="69" spans="1:10" x14ac:dyDescent="0.35">
      <c r="A69">
        <v>68</v>
      </c>
      <c r="B69" s="23" t="s">
        <v>839</v>
      </c>
      <c r="C69" s="23" t="s">
        <v>492</v>
      </c>
      <c r="D69" s="20" t="s">
        <v>426</v>
      </c>
      <c r="E69" s="23" t="s">
        <v>30</v>
      </c>
      <c r="F69" s="23" t="s">
        <v>11</v>
      </c>
      <c r="G69" s="23">
        <v>1</v>
      </c>
      <c r="H69" s="33">
        <v>140000</v>
      </c>
      <c r="I69" s="23" t="str">
        <f>IF(AND(ISNUMBER(MATCH(C69, Discount_Product_Apply!$B$2:$B$30, 0)), G69&gt;=3, Order!G69&gt;=DATE(2025,7,1), Order!G69&lt;=DATE(2025,7,11)), "DIS_004", "")</f>
        <v/>
      </c>
      <c r="J69" s="33">
        <f t="shared" si="2"/>
        <v>140000</v>
      </c>
    </row>
    <row r="70" spans="1:10" x14ac:dyDescent="0.35">
      <c r="A70">
        <v>69</v>
      </c>
      <c r="B70" s="23" t="s">
        <v>840</v>
      </c>
      <c r="C70" s="23" t="s">
        <v>493</v>
      </c>
      <c r="D70" s="20" t="s">
        <v>426</v>
      </c>
      <c r="E70" s="23" t="s">
        <v>30</v>
      </c>
      <c r="F70" s="23" t="s">
        <v>15</v>
      </c>
      <c r="G70" s="23">
        <v>3</v>
      </c>
      <c r="H70" s="33">
        <v>140000</v>
      </c>
      <c r="I70" s="23" t="str">
        <f>IF(AND(ISNUMBER(MATCH(C70, Discount_Product_Apply!$B$2:$B$30, 0)), G70&gt;=3, Order!G70&gt;=DATE(2025,7,1), Order!G70&lt;=DATE(2025,7,11)), "DIS_004", "")</f>
        <v>DIS_004</v>
      </c>
      <c r="J70" s="33">
        <f t="shared" si="2"/>
        <v>500000</v>
      </c>
    </row>
    <row r="71" spans="1:10" x14ac:dyDescent="0.35">
      <c r="A71">
        <v>70</v>
      </c>
      <c r="B71" s="23" t="s">
        <v>840</v>
      </c>
      <c r="C71" s="23" t="s">
        <v>494</v>
      </c>
      <c r="D71" s="20" t="s">
        <v>426</v>
      </c>
      <c r="E71" s="23" t="s">
        <v>30</v>
      </c>
      <c r="F71" s="23" t="s">
        <v>12</v>
      </c>
      <c r="G71" s="23">
        <v>2</v>
      </c>
      <c r="H71" s="33">
        <v>140000</v>
      </c>
      <c r="I71" s="23" t="str">
        <f>IF(AND(ISNUMBER(MATCH(C71, Discount_Product_Apply!$B$2:$B$30, 0)), G71&gt;=3, Order!G71&gt;=DATE(2025,7,1), Order!G71&lt;=DATE(2025,7,11)), "DIS_004", "")</f>
        <v/>
      </c>
      <c r="J71" s="33">
        <f t="shared" si="2"/>
        <v>280000</v>
      </c>
    </row>
    <row r="72" spans="1:10" x14ac:dyDescent="0.35">
      <c r="A72">
        <v>71</v>
      </c>
      <c r="B72" s="23" t="s">
        <v>841</v>
      </c>
      <c r="C72" s="23" t="s">
        <v>495</v>
      </c>
      <c r="D72" s="20" t="s">
        <v>426</v>
      </c>
      <c r="E72" s="23" t="s">
        <v>30</v>
      </c>
      <c r="F72" s="23" t="s">
        <v>19</v>
      </c>
      <c r="G72" s="23">
        <v>3</v>
      </c>
      <c r="H72" s="33">
        <v>140000</v>
      </c>
      <c r="I72" s="23" t="str">
        <f>IF(AND(ISNUMBER(MATCH(C72, Discount_Product_Apply!$B$2:$B$30, 0)), G72&gt;=3, Order!G72&gt;=DATE(2025,7,1), Order!G72&lt;=DATE(2025,7,11)), "DIS_004", "")</f>
        <v/>
      </c>
      <c r="J72" s="33">
        <f t="shared" si="2"/>
        <v>420000</v>
      </c>
    </row>
    <row r="73" spans="1:10" x14ac:dyDescent="0.35">
      <c r="A73">
        <v>72</v>
      </c>
      <c r="B73" s="23" t="s">
        <v>841</v>
      </c>
      <c r="C73" s="23" t="s">
        <v>511</v>
      </c>
      <c r="D73" s="20" t="s">
        <v>428</v>
      </c>
      <c r="E73" s="23" t="s">
        <v>438</v>
      </c>
      <c r="F73" s="23" t="s">
        <v>20</v>
      </c>
      <c r="G73" s="23">
        <v>1</v>
      </c>
      <c r="H73" s="33">
        <v>230000</v>
      </c>
      <c r="I73" s="23" t="str">
        <f>IF(AND(ISNUMBER(MATCH(C73, Discount_Product_Apply!$B$2:$B$30, 0)), G73&gt;=3, Order!G73&gt;=DATE(2025,7,1), Order!G73&lt;=DATE(2025,7,11)), "DIS_004", "")</f>
        <v/>
      </c>
      <c r="J73" s="33">
        <f t="shared" si="2"/>
        <v>230000</v>
      </c>
    </row>
    <row r="74" spans="1:10" x14ac:dyDescent="0.35">
      <c r="A74">
        <v>73</v>
      </c>
      <c r="B74" s="23" t="s">
        <v>842</v>
      </c>
      <c r="C74" s="23" t="s">
        <v>512</v>
      </c>
      <c r="D74" s="20" t="s">
        <v>428</v>
      </c>
      <c r="E74" s="23" t="s">
        <v>438</v>
      </c>
      <c r="F74" s="23" t="s">
        <v>11</v>
      </c>
      <c r="G74" s="23">
        <v>3</v>
      </c>
      <c r="H74" s="33">
        <v>230000</v>
      </c>
      <c r="I74" s="23" t="str">
        <f>IF(AND(ISNUMBER(MATCH(C74, Discount_Product_Apply!$B$2:$B$30, 0)), G74&gt;=3, Order!G74&gt;=DATE(2025,7,1), Order!G74&lt;=DATE(2025,7,11)), "DIS_004", "")</f>
        <v/>
      </c>
      <c r="J74" s="33">
        <f t="shared" si="2"/>
        <v>690000</v>
      </c>
    </row>
    <row r="75" spans="1:10" x14ac:dyDescent="0.35">
      <c r="A75">
        <v>74</v>
      </c>
      <c r="B75" s="23" t="s">
        <v>842</v>
      </c>
      <c r="C75" s="23" t="s">
        <v>513</v>
      </c>
      <c r="D75" s="20" t="s">
        <v>428</v>
      </c>
      <c r="E75" s="23" t="s">
        <v>438</v>
      </c>
      <c r="F75" s="23" t="s">
        <v>15</v>
      </c>
      <c r="G75" s="23">
        <v>2</v>
      </c>
      <c r="H75" s="33">
        <v>230000</v>
      </c>
      <c r="I75" s="23" t="str">
        <f>IF(AND(ISNUMBER(MATCH(C75, Discount_Product_Apply!$B$2:$B$30, 0)), G75&gt;=3, Order!G75&gt;=DATE(2025,7,1), Order!G75&lt;=DATE(2025,7,11)), "DIS_004", "")</f>
        <v/>
      </c>
      <c r="J75" s="33">
        <f t="shared" si="2"/>
        <v>460000</v>
      </c>
    </row>
    <row r="76" spans="1:10" x14ac:dyDescent="0.35">
      <c r="A76">
        <v>75</v>
      </c>
      <c r="B76" s="23" t="s">
        <v>843</v>
      </c>
      <c r="C76" s="23" t="s">
        <v>514</v>
      </c>
      <c r="D76" s="20" t="s">
        <v>428</v>
      </c>
      <c r="E76" s="23" t="s">
        <v>438</v>
      </c>
      <c r="F76" s="23" t="s">
        <v>12</v>
      </c>
      <c r="G76" s="23">
        <v>3</v>
      </c>
      <c r="H76" s="33">
        <v>230000</v>
      </c>
      <c r="I76" s="23" t="str">
        <f>IF(AND(ISNUMBER(MATCH(C76, Discount_Product_Apply!$B$2:$B$30, 0)), G76&gt;=3, Order!G76&gt;=DATE(2025,7,1), Order!G76&lt;=DATE(2025,7,11)), "DIS_004", "")</f>
        <v/>
      </c>
      <c r="J76" s="33">
        <f t="shared" si="2"/>
        <v>690000</v>
      </c>
    </row>
    <row r="77" spans="1:10" x14ac:dyDescent="0.35">
      <c r="A77">
        <v>76</v>
      </c>
      <c r="B77" s="23" t="s">
        <v>843</v>
      </c>
      <c r="C77" s="23" t="s">
        <v>515</v>
      </c>
      <c r="D77" s="20" t="s">
        <v>428</v>
      </c>
      <c r="E77" s="23" t="s">
        <v>438</v>
      </c>
      <c r="F77" s="23" t="s">
        <v>19</v>
      </c>
      <c r="G77" s="23">
        <v>1</v>
      </c>
      <c r="H77" s="33">
        <v>230000</v>
      </c>
      <c r="I77" s="23" t="str">
        <f>IF(AND(ISNUMBER(MATCH(C77, Discount_Product_Apply!$B$2:$B$30, 0)), G77&gt;=3, Order!G77&gt;=DATE(2025,7,1), Order!G77&lt;=DATE(2025,7,11)), "DIS_004", "")</f>
        <v/>
      </c>
      <c r="J77" s="33">
        <f t="shared" si="2"/>
        <v>230000</v>
      </c>
    </row>
    <row r="78" spans="1:10" x14ac:dyDescent="0.35">
      <c r="A78">
        <v>77</v>
      </c>
      <c r="B78" s="23" t="s">
        <v>844</v>
      </c>
      <c r="C78" s="23" t="s">
        <v>516</v>
      </c>
      <c r="D78" s="20" t="s">
        <v>428</v>
      </c>
      <c r="E78" s="23" t="s">
        <v>8</v>
      </c>
      <c r="F78" s="23" t="s">
        <v>20</v>
      </c>
      <c r="G78" s="23">
        <v>3</v>
      </c>
      <c r="H78" s="33">
        <v>230000</v>
      </c>
      <c r="I78" s="23" t="str">
        <f>IF(AND(ISNUMBER(MATCH(C78, Discount_Product_Apply!$B$2:$B$30, 0)), G78&gt;=3, Order!G78&gt;=DATE(2025,7,1), Order!G78&lt;=DATE(2025,7,11)), "DIS_004", "")</f>
        <v/>
      </c>
      <c r="J78" s="33">
        <f t="shared" si="2"/>
        <v>690000</v>
      </c>
    </row>
    <row r="79" spans="1:10" x14ac:dyDescent="0.35">
      <c r="A79">
        <v>78</v>
      </c>
      <c r="B79" s="23" t="s">
        <v>844</v>
      </c>
      <c r="C79" s="23" t="s">
        <v>536</v>
      </c>
      <c r="D79" s="20" t="s">
        <v>428</v>
      </c>
      <c r="E79" s="23" t="s">
        <v>8</v>
      </c>
      <c r="F79" s="23" t="s">
        <v>11</v>
      </c>
      <c r="G79" s="23">
        <v>2</v>
      </c>
      <c r="H79" s="33">
        <v>230000</v>
      </c>
      <c r="I79" s="23" t="str">
        <f>IF(AND(ISNUMBER(MATCH(C79, Discount_Product_Apply!$B$2:$B$30, 0)), G79&gt;=3, Order!G79&gt;=DATE(2025,7,1), Order!G79&lt;=DATE(2025,7,11)), "DIS_004", "")</f>
        <v/>
      </c>
      <c r="J79" s="33">
        <f t="shared" si="2"/>
        <v>460000</v>
      </c>
    </row>
    <row r="80" spans="1:10" x14ac:dyDescent="0.35">
      <c r="A80">
        <v>79</v>
      </c>
      <c r="B80" s="23" t="s">
        <v>845</v>
      </c>
      <c r="C80" s="23" t="s">
        <v>537</v>
      </c>
      <c r="D80" s="20" t="s">
        <v>428</v>
      </c>
      <c r="E80" s="23" t="s">
        <v>8</v>
      </c>
      <c r="F80" s="23" t="s">
        <v>15</v>
      </c>
      <c r="G80" s="23">
        <v>3</v>
      </c>
      <c r="H80" s="33">
        <v>230000</v>
      </c>
      <c r="I80" s="23" t="str">
        <f>IF(AND(ISNUMBER(MATCH(C80, Discount_Product_Apply!$B$2:$B$30, 0)), G80&gt;=3, Order!G80&gt;=DATE(2025,7,1), Order!G80&lt;=DATE(2025,7,11)), "DIS_004", "")</f>
        <v/>
      </c>
      <c r="J80" s="33">
        <f t="shared" si="2"/>
        <v>690000</v>
      </c>
    </row>
    <row r="81" spans="1:10" x14ac:dyDescent="0.35">
      <c r="A81">
        <v>80</v>
      </c>
      <c r="B81" s="23" t="s">
        <v>845</v>
      </c>
      <c r="C81" s="23" t="s">
        <v>538</v>
      </c>
      <c r="D81" s="20" t="s">
        <v>428</v>
      </c>
      <c r="E81" s="23" t="s">
        <v>8</v>
      </c>
      <c r="F81" s="23" t="s">
        <v>12</v>
      </c>
      <c r="G81" s="23">
        <v>1</v>
      </c>
      <c r="H81" s="33">
        <v>230000</v>
      </c>
      <c r="I81" s="23" t="str">
        <f>IF(AND(ISNUMBER(MATCH(C81, Discount_Product_Apply!$B$2:$B$30, 0)), G81&gt;=3, Order!G81&gt;=DATE(2025,7,1), Order!G81&lt;=DATE(2025,7,11)), "DIS_004", "")</f>
        <v/>
      </c>
      <c r="J81" s="33">
        <f t="shared" ref="J81:J84" si="3">IF(I81="DIS_004", INT(G81/3)*500000 + MOD(G81,3)*H81, H81*G81)</f>
        <v>230000</v>
      </c>
    </row>
    <row r="82" spans="1:10" x14ac:dyDescent="0.35">
      <c r="A82">
        <v>81</v>
      </c>
      <c r="B82" s="23" t="s">
        <v>846</v>
      </c>
      <c r="C82" s="23" t="s">
        <v>539</v>
      </c>
      <c r="D82" s="20" t="s">
        <v>428</v>
      </c>
      <c r="E82" s="23" t="s">
        <v>8</v>
      </c>
      <c r="F82" s="23" t="s">
        <v>19</v>
      </c>
      <c r="G82" s="23">
        <v>3</v>
      </c>
      <c r="H82" s="33">
        <v>230000</v>
      </c>
      <c r="I82" s="23" t="str">
        <f>IF(AND(ISNUMBER(MATCH(C82, Discount_Product_Apply!$B$2:$B$30, 0)), G82&gt;=3, Order!G82&gt;=DATE(2025,7,1), Order!G82&lt;=DATE(2025,7,11)), "DIS_004", "")</f>
        <v>DIS_004</v>
      </c>
      <c r="J82" s="33">
        <f t="shared" si="3"/>
        <v>500000</v>
      </c>
    </row>
    <row r="83" spans="1:10" x14ac:dyDescent="0.35">
      <c r="A83">
        <v>82</v>
      </c>
      <c r="B83" s="23" t="s">
        <v>847</v>
      </c>
      <c r="C83" s="35" t="s">
        <v>750</v>
      </c>
      <c r="D83" s="37" t="s">
        <v>431</v>
      </c>
      <c r="E83" s="23" t="s">
        <v>30</v>
      </c>
      <c r="F83" s="23" t="s">
        <v>11</v>
      </c>
      <c r="G83" s="23">
        <v>1</v>
      </c>
      <c r="H83" s="33">
        <v>320000</v>
      </c>
      <c r="I83" s="23"/>
      <c r="J83" s="33">
        <f t="shared" si="3"/>
        <v>320000</v>
      </c>
    </row>
    <row r="84" spans="1:10" x14ac:dyDescent="0.35">
      <c r="A84">
        <v>83</v>
      </c>
      <c r="B84" s="23" t="s">
        <v>848</v>
      </c>
      <c r="C84" s="35" t="s">
        <v>723</v>
      </c>
      <c r="D84" s="37" t="s">
        <v>425</v>
      </c>
      <c r="E84" s="23" t="s">
        <v>450</v>
      </c>
      <c r="F84" s="23" t="s">
        <v>19</v>
      </c>
      <c r="G84" s="23">
        <v>2</v>
      </c>
      <c r="H84" s="33">
        <v>155000</v>
      </c>
      <c r="I84" s="23"/>
      <c r="J84" s="33">
        <f t="shared" si="3"/>
        <v>310000</v>
      </c>
    </row>
    <row r="85" spans="1:10" x14ac:dyDescent="0.35">
      <c r="A85">
        <v>84</v>
      </c>
      <c r="B85" s="23" t="s">
        <v>849</v>
      </c>
      <c r="C85" s="23" t="s">
        <v>462</v>
      </c>
      <c r="D85" s="23" t="s">
        <v>7</v>
      </c>
      <c r="E85" s="23" t="s">
        <v>8</v>
      </c>
      <c r="F85" s="23" t="s">
        <v>31</v>
      </c>
      <c r="G85" s="23">
        <v>1</v>
      </c>
      <c r="H85" s="33">
        <v>250000</v>
      </c>
      <c r="I85" s="23" t="str">
        <f>IF(AND(ISNUMBER(MATCH(C85, Discount_Product_Apply!$B$2:$B$30, 0)), G85&gt;=3), "DIS_004", "")</f>
        <v/>
      </c>
      <c r="J85" s="33">
        <f t="shared" ref="J85:J116" si="4">IF(I85="DIS_004", INT(G85/3)*500000 + MOD(G85,3)*H85, H85*G85)</f>
        <v>250000</v>
      </c>
    </row>
    <row r="86" spans="1:10" x14ac:dyDescent="0.35">
      <c r="A86">
        <v>85</v>
      </c>
      <c r="B86" s="23" t="s">
        <v>850</v>
      </c>
      <c r="C86" s="23" t="s">
        <v>463</v>
      </c>
      <c r="D86" s="23" t="s">
        <v>7</v>
      </c>
      <c r="E86" s="23" t="s">
        <v>8</v>
      </c>
      <c r="F86" s="23" t="s">
        <v>20</v>
      </c>
      <c r="G86" s="23">
        <v>3</v>
      </c>
      <c r="H86" s="33">
        <v>250000</v>
      </c>
      <c r="I86" s="23" t="str">
        <f>IF(AND(ISNUMBER(MATCH(C86, Discount_Product_Apply!$B$2:$B$30, 0)), G86&gt;=3), "DIS_004", "")</f>
        <v/>
      </c>
      <c r="J86" s="33">
        <f t="shared" si="4"/>
        <v>750000</v>
      </c>
    </row>
    <row r="87" spans="1:10" x14ac:dyDescent="0.35">
      <c r="A87">
        <v>86</v>
      </c>
      <c r="B87" s="23" t="s">
        <v>850</v>
      </c>
      <c r="C87" s="23" t="s">
        <v>464</v>
      </c>
      <c r="D87" s="23" t="s">
        <v>7</v>
      </c>
      <c r="E87" s="23" t="s">
        <v>8</v>
      </c>
      <c r="F87" s="23" t="s">
        <v>11</v>
      </c>
      <c r="G87" s="23">
        <v>2</v>
      </c>
      <c r="H87" s="33">
        <v>250000</v>
      </c>
      <c r="I87" s="23" t="str">
        <f>IF(AND(ISNUMBER(MATCH(C87, Discount_Product_Apply!$B$2:$B$30, 0)), G87&gt;=3), "DIS_004", "")</f>
        <v/>
      </c>
      <c r="J87" s="33">
        <f t="shared" si="4"/>
        <v>500000</v>
      </c>
    </row>
    <row r="88" spans="1:10" x14ac:dyDescent="0.35">
      <c r="A88">
        <v>87</v>
      </c>
      <c r="B88" s="23" t="s">
        <v>851</v>
      </c>
      <c r="C88" s="23" t="s">
        <v>465</v>
      </c>
      <c r="D88" s="23" t="s">
        <v>7</v>
      </c>
      <c r="E88" s="23" t="s">
        <v>8</v>
      </c>
      <c r="F88" s="23" t="s">
        <v>15</v>
      </c>
      <c r="G88" s="23">
        <v>3</v>
      </c>
      <c r="H88" s="33">
        <v>250000</v>
      </c>
      <c r="I88" s="23" t="str">
        <f>IF(AND(ISNUMBER(MATCH(C88, Discount_Product_Apply!$B$2:$B$30, 0)), G88&gt;=3), "DIS_004", "")</f>
        <v/>
      </c>
      <c r="J88" s="33">
        <f t="shared" si="4"/>
        <v>750000</v>
      </c>
    </row>
    <row r="89" spans="1:10" x14ac:dyDescent="0.35">
      <c r="A89">
        <v>88</v>
      </c>
      <c r="B89" s="23" t="s">
        <v>851</v>
      </c>
      <c r="C89" t="s">
        <v>576</v>
      </c>
      <c r="D89" s="20" t="s">
        <v>413</v>
      </c>
      <c r="E89" s="20" t="s">
        <v>8</v>
      </c>
      <c r="F89" s="20" t="s">
        <v>20</v>
      </c>
      <c r="G89" s="23">
        <v>1</v>
      </c>
      <c r="H89" s="33">
        <v>230000</v>
      </c>
      <c r="I89" s="23" t="str">
        <f>IF(AND(ISNUMBER(MATCH(C89, Discount_Product_Apply!$B$2:$B$30, 0)), G89&gt;=3), "DIS_004", "")</f>
        <v/>
      </c>
      <c r="J89" s="33">
        <f t="shared" si="4"/>
        <v>230000</v>
      </c>
    </row>
    <row r="90" spans="1:10" x14ac:dyDescent="0.35">
      <c r="A90">
        <v>89</v>
      </c>
      <c r="B90" s="23" t="s">
        <v>852</v>
      </c>
      <c r="C90" t="s">
        <v>577</v>
      </c>
      <c r="D90" s="20" t="s">
        <v>413</v>
      </c>
      <c r="E90" s="20" t="s">
        <v>8</v>
      </c>
      <c r="F90" s="20" t="s">
        <v>11</v>
      </c>
      <c r="G90" s="23">
        <v>2</v>
      </c>
      <c r="H90" s="33">
        <v>230000</v>
      </c>
      <c r="I90" s="23" t="str">
        <f>IF(AND(ISNUMBER(MATCH(C90, Discount_Product_Apply!$B$2:$B$30, 0)), G90&gt;=3), "DIS_004", "")</f>
        <v/>
      </c>
      <c r="J90" s="33">
        <f t="shared" si="4"/>
        <v>460000</v>
      </c>
    </row>
    <row r="91" spans="1:10" x14ac:dyDescent="0.35">
      <c r="A91">
        <v>90</v>
      </c>
      <c r="B91" s="23" t="s">
        <v>852</v>
      </c>
      <c r="C91" t="s">
        <v>578</v>
      </c>
      <c r="D91" s="20" t="s">
        <v>413</v>
      </c>
      <c r="E91" s="20" t="s">
        <v>8</v>
      </c>
      <c r="F91" s="20" t="s">
        <v>15</v>
      </c>
      <c r="G91" s="23">
        <v>3</v>
      </c>
      <c r="H91" s="33">
        <v>230000</v>
      </c>
      <c r="I91" s="23" t="str">
        <f>IF(AND(ISNUMBER(MATCH(C91, Discount_Product_Apply!$B$2:$B$30, 0)), G91&gt;=3), "DIS_004", "")</f>
        <v/>
      </c>
      <c r="J91" s="33">
        <f t="shared" si="4"/>
        <v>690000</v>
      </c>
    </row>
    <row r="92" spans="1:10" x14ac:dyDescent="0.35">
      <c r="A92">
        <v>91</v>
      </c>
      <c r="B92" s="23" t="s">
        <v>853</v>
      </c>
      <c r="C92" t="s">
        <v>579</v>
      </c>
      <c r="D92" s="20" t="s">
        <v>413</v>
      </c>
      <c r="E92" s="20" t="s">
        <v>445</v>
      </c>
      <c r="F92" s="20" t="s">
        <v>20</v>
      </c>
      <c r="G92" s="23">
        <v>2</v>
      </c>
      <c r="H92" s="33">
        <v>230000</v>
      </c>
      <c r="I92" s="23" t="str">
        <f>IF(AND(ISNUMBER(MATCH(C92, Discount_Product_Apply!$B$2:$B$30, 0)), G92&gt;=3), "DIS_004", "")</f>
        <v/>
      </c>
      <c r="J92" s="33">
        <f t="shared" si="4"/>
        <v>460000</v>
      </c>
    </row>
    <row r="93" spans="1:10" x14ac:dyDescent="0.35">
      <c r="A93">
        <v>92</v>
      </c>
      <c r="B93" s="23" t="s">
        <v>853</v>
      </c>
      <c r="C93" t="s">
        <v>580</v>
      </c>
      <c r="D93" s="20" t="s">
        <v>413</v>
      </c>
      <c r="E93" s="20" t="s">
        <v>445</v>
      </c>
      <c r="F93" s="20" t="s">
        <v>11</v>
      </c>
      <c r="G93" s="23">
        <v>3</v>
      </c>
      <c r="H93" s="33">
        <v>230000</v>
      </c>
      <c r="I93" s="23" t="str">
        <f>IF(AND(ISNUMBER(MATCH(C93, Discount_Product_Apply!$B$2:$B$30, 0)), G93&gt;=3), "DIS_004", "")</f>
        <v/>
      </c>
      <c r="J93" s="33">
        <f t="shared" si="4"/>
        <v>690000</v>
      </c>
    </row>
    <row r="94" spans="1:10" x14ac:dyDescent="0.35">
      <c r="A94">
        <v>93</v>
      </c>
      <c r="B94" s="23" t="s">
        <v>854</v>
      </c>
      <c r="C94" t="s">
        <v>581</v>
      </c>
      <c r="D94" s="20" t="s">
        <v>413</v>
      </c>
      <c r="E94" s="20" t="s">
        <v>445</v>
      </c>
      <c r="F94" s="20" t="s">
        <v>15</v>
      </c>
      <c r="G94" s="23">
        <v>1</v>
      </c>
      <c r="H94" s="33">
        <v>230000</v>
      </c>
      <c r="I94" s="23" t="str">
        <f>IF(AND(ISNUMBER(MATCH(C94, Discount_Product_Apply!$B$2:$B$30, 0)), G94&gt;=3), "DIS_004", "")</f>
        <v/>
      </c>
      <c r="J94" s="33">
        <f t="shared" si="4"/>
        <v>230000</v>
      </c>
    </row>
    <row r="95" spans="1:10" x14ac:dyDescent="0.35">
      <c r="A95">
        <v>94</v>
      </c>
      <c r="B95" s="23" t="s">
        <v>854</v>
      </c>
      <c r="C95" t="s">
        <v>583</v>
      </c>
      <c r="D95" s="20" t="s">
        <v>417</v>
      </c>
      <c r="E95" s="20" t="s">
        <v>8</v>
      </c>
      <c r="F95" s="23" t="s">
        <v>11</v>
      </c>
      <c r="G95" s="23">
        <v>2</v>
      </c>
      <c r="H95" s="33">
        <v>230000</v>
      </c>
      <c r="I95" s="23" t="str">
        <f>IF(AND(ISNUMBER(MATCH(C95, Discount_Product_Apply!$B$2:$B$30, 0)), G95&gt;=3), "DIS_004", "")</f>
        <v/>
      </c>
      <c r="J95" s="33">
        <f t="shared" si="4"/>
        <v>460000</v>
      </c>
    </row>
    <row r="96" spans="1:10" x14ac:dyDescent="0.35">
      <c r="A96">
        <v>95</v>
      </c>
      <c r="B96" s="23" t="s">
        <v>855</v>
      </c>
      <c r="C96" t="s">
        <v>584</v>
      </c>
      <c r="D96" s="20" t="s">
        <v>417</v>
      </c>
      <c r="E96" s="20" t="s">
        <v>8</v>
      </c>
      <c r="F96" s="23" t="s">
        <v>15</v>
      </c>
      <c r="G96" s="23">
        <v>3</v>
      </c>
      <c r="H96" s="33">
        <v>230000</v>
      </c>
      <c r="I96" s="23" t="str">
        <f>IF(AND(ISNUMBER(MATCH(C96, Discount_Product_Apply!$B$2:$B$30, 0)), G96&gt;=3), "DIS_004", "")</f>
        <v/>
      </c>
      <c r="J96" s="33">
        <f t="shared" si="4"/>
        <v>690000</v>
      </c>
    </row>
    <row r="97" spans="1:10" x14ac:dyDescent="0.35">
      <c r="A97">
        <v>96</v>
      </c>
      <c r="B97" s="23" t="s">
        <v>855</v>
      </c>
      <c r="C97" t="s">
        <v>582</v>
      </c>
      <c r="D97" s="20" t="s">
        <v>417</v>
      </c>
      <c r="E97" s="20" t="s">
        <v>8</v>
      </c>
      <c r="F97" s="23" t="s">
        <v>20</v>
      </c>
      <c r="G97" s="23">
        <v>1</v>
      </c>
      <c r="H97" s="33">
        <v>230000</v>
      </c>
      <c r="I97" s="23" t="str">
        <f>IF(AND(ISNUMBER(MATCH(C97, Discount_Product_Apply!$B$2:$B$30, 0)), G97&gt;=3), "DIS_004", "")</f>
        <v/>
      </c>
      <c r="J97" s="33">
        <f t="shared" si="4"/>
        <v>230000</v>
      </c>
    </row>
    <row r="98" spans="1:10" x14ac:dyDescent="0.35">
      <c r="A98">
        <v>97</v>
      </c>
      <c r="B98" s="23" t="s">
        <v>856</v>
      </c>
      <c r="C98" t="s">
        <v>585</v>
      </c>
      <c r="D98" s="20" t="s">
        <v>417</v>
      </c>
      <c r="E98" s="20" t="s">
        <v>446</v>
      </c>
      <c r="F98" s="23" t="s">
        <v>20</v>
      </c>
      <c r="G98" s="23">
        <v>3</v>
      </c>
      <c r="H98" s="33">
        <v>230000</v>
      </c>
      <c r="I98" s="23" t="str">
        <f>IF(AND(ISNUMBER(MATCH(C98, Discount_Product_Apply!$B$2:$B$30, 0)), G98&gt;=3), "DIS_004", "")</f>
        <v/>
      </c>
      <c r="J98" s="33">
        <f t="shared" si="4"/>
        <v>690000</v>
      </c>
    </row>
    <row r="99" spans="1:10" x14ac:dyDescent="0.35">
      <c r="A99">
        <v>98</v>
      </c>
      <c r="B99" s="23" t="s">
        <v>856</v>
      </c>
      <c r="C99" t="s">
        <v>586</v>
      </c>
      <c r="D99" s="20" t="s">
        <v>417</v>
      </c>
      <c r="E99" s="20" t="s">
        <v>446</v>
      </c>
      <c r="F99" s="23" t="s">
        <v>11</v>
      </c>
      <c r="G99" s="23">
        <v>2</v>
      </c>
      <c r="H99" s="33">
        <v>230000</v>
      </c>
      <c r="I99" s="23" t="str">
        <f>IF(AND(ISNUMBER(MATCH(C99, Discount_Product_Apply!$B$2:$B$30, 0)), G99&gt;=3), "DIS_004", "")</f>
        <v/>
      </c>
      <c r="J99" s="33">
        <f t="shared" si="4"/>
        <v>460000</v>
      </c>
    </row>
    <row r="100" spans="1:10" x14ac:dyDescent="0.35">
      <c r="A100">
        <v>99</v>
      </c>
      <c r="B100" s="23" t="s">
        <v>857</v>
      </c>
      <c r="C100" t="s">
        <v>586</v>
      </c>
      <c r="D100" s="20" t="s">
        <v>417</v>
      </c>
      <c r="E100" s="20" t="s">
        <v>446</v>
      </c>
      <c r="F100" s="23" t="s">
        <v>11</v>
      </c>
      <c r="G100" s="23">
        <v>3</v>
      </c>
      <c r="H100" s="33">
        <v>230000</v>
      </c>
      <c r="I100" s="23" t="str">
        <f>IF(AND(ISNUMBER(MATCH(C100, Discount_Product_Apply!$B$2:$B$30, 0)), G100&gt;=3), "DIS_004", "")</f>
        <v/>
      </c>
      <c r="J100" s="33">
        <f t="shared" si="4"/>
        <v>690000</v>
      </c>
    </row>
    <row r="101" spans="1:10" x14ac:dyDescent="0.35">
      <c r="A101">
        <v>100</v>
      </c>
      <c r="B101" s="23" t="s">
        <v>857</v>
      </c>
      <c r="C101" t="s">
        <v>600</v>
      </c>
      <c r="D101" s="20" t="s">
        <v>423</v>
      </c>
      <c r="E101" s="23" t="s">
        <v>9</v>
      </c>
      <c r="F101" s="23" t="s">
        <v>20</v>
      </c>
      <c r="G101" s="23">
        <v>1</v>
      </c>
      <c r="H101" s="33">
        <v>380000</v>
      </c>
      <c r="I101" s="23" t="str">
        <f>IF(AND(ISNUMBER(MATCH(C101, Discount_Product_Apply!$B$2:$B$30, 0)), G101&gt;=3), "DIS_004", "")</f>
        <v/>
      </c>
      <c r="J101" s="33">
        <f t="shared" si="4"/>
        <v>380000</v>
      </c>
    </row>
    <row r="102" spans="1:10" x14ac:dyDescent="0.35">
      <c r="A102">
        <v>101</v>
      </c>
      <c r="B102" s="23" t="s">
        <v>858</v>
      </c>
      <c r="C102" s="23" t="s">
        <v>603</v>
      </c>
      <c r="D102" s="20" t="s">
        <v>423</v>
      </c>
      <c r="E102" s="23" t="s">
        <v>9</v>
      </c>
      <c r="F102" s="23" t="s">
        <v>12</v>
      </c>
      <c r="G102" s="23">
        <v>3</v>
      </c>
      <c r="H102" s="33">
        <v>380000</v>
      </c>
      <c r="I102" s="23" t="str">
        <f>IF(AND(ISNUMBER(MATCH(C102, Discount_Product_Apply!$B$2:$B$30, 0)), G102&gt;=3), "DIS_004", "")</f>
        <v/>
      </c>
      <c r="J102" s="33">
        <f t="shared" si="4"/>
        <v>1140000</v>
      </c>
    </row>
    <row r="103" spans="1:10" x14ac:dyDescent="0.35">
      <c r="A103">
        <v>102</v>
      </c>
      <c r="B103" s="23" t="s">
        <v>858</v>
      </c>
      <c r="C103" s="23" t="s">
        <v>480</v>
      </c>
      <c r="D103" s="23" t="s">
        <v>415</v>
      </c>
      <c r="E103" s="23" t="s">
        <v>435</v>
      </c>
      <c r="F103" s="23" t="s">
        <v>19</v>
      </c>
      <c r="G103" s="23">
        <v>2</v>
      </c>
      <c r="H103" s="33">
        <v>180000</v>
      </c>
      <c r="I103" s="23" t="str">
        <f>IF(AND(ISNUMBER(MATCH(C103, Discount_Product_Apply!$B$2:$B$30, 0)), G103&gt;=3), "DIS_004", "")</f>
        <v/>
      </c>
      <c r="J103" s="33">
        <f t="shared" si="4"/>
        <v>360000</v>
      </c>
    </row>
    <row r="104" spans="1:10" x14ac:dyDescent="0.35">
      <c r="A104">
        <v>103</v>
      </c>
      <c r="B104" s="23" t="s">
        <v>859</v>
      </c>
      <c r="C104" s="23" t="s">
        <v>604</v>
      </c>
      <c r="D104" s="20" t="s">
        <v>423</v>
      </c>
      <c r="E104" s="23" t="s">
        <v>9</v>
      </c>
      <c r="F104" s="23" t="s">
        <v>19</v>
      </c>
      <c r="G104" s="23">
        <v>3</v>
      </c>
      <c r="H104" s="33">
        <v>380000</v>
      </c>
      <c r="I104" s="23" t="str">
        <f>IF(AND(ISNUMBER(MATCH(C104, Discount_Product_Apply!$B$2:$B$30, 0)), G104&gt;=3), "DIS_004", "")</f>
        <v/>
      </c>
      <c r="J104" s="33">
        <f t="shared" si="4"/>
        <v>1140000</v>
      </c>
    </row>
    <row r="105" spans="1:10" x14ac:dyDescent="0.35">
      <c r="A105">
        <v>104</v>
      </c>
      <c r="B105" s="23" t="s">
        <v>859</v>
      </c>
      <c r="C105" s="23" t="s">
        <v>482</v>
      </c>
      <c r="D105" s="23" t="s">
        <v>415</v>
      </c>
      <c r="E105" s="23" t="s">
        <v>9</v>
      </c>
      <c r="F105" s="23" t="s">
        <v>11</v>
      </c>
      <c r="G105" s="23">
        <v>1</v>
      </c>
      <c r="H105" s="33">
        <v>180000</v>
      </c>
      <c r="I105" s="23" t="str">
        <f>IF(AND(ISNUMBER(MATCH(C105, Discount_Product_Apply!$B$2:$B$30, 0)), G105&gt;=3), "DIS_004", "")</f>
        <v/>
      </c>
      <c r="J105" s="33">
        <f t="shared" si="4"/>
        <v>180000</v>
      </c>
    </row>
    <row r="106" spans="1:10" x14ac:dyDescent="0.35">
      <c r="A106">
        <v>105</v>
      </c>
      <c r="B106" s="23" t="s">
        <v>860</v>
      </c>
      <c r="C106" s="23" t="s">
        <v>602</v>
      </c>
      <c r="D106" s="20" t="s">
        <v>423</v>
      </c>
      <c r="E106" s="23" t="s">
        <v>9</v>
      </c>
      <c r="F106" s="23" t="s">
        <v>15</v>
      </c>
      <c r="G106" s="23">
        <v>3</v>
      </c>
      <c r="H106" s="33">
        <v>380000</v>
      </c>
      <c r="I106" s="23" t="str">
        <f>IF(AND(ISNUMBER(MATCH(C106, Discount_Product_Apply!$B$2:$B$30, 0)), G106&gt;=3), "DIS_004", "")</f>
        <v/>
      </c>
      <c r="J106" s="33">
        <f t="shared" si="4"/>
        <v>1140000</v>
      </c>
    </row>
    <row r="107" spans="1:10" x14ac:dyDescent="0.35">
      <c r="A107">
        <v>106</v>
      </c>
      <c r="B107" s="23" t="s">
        <v>860</v>
      </c>
      <c r="C107" s="23" t="s">
        <v>484</v>
      </c>
      <c r="D107" s="20" t="s">
        <v>424</v>
      </c>
      <c r="E107" s="23" t="s">
        <v>451</v>
      </c>
      <c r="F107" s="23" t="s">
        <v>12</v>
      </c>
      <c r="G107" s="23">
        <v>2</v>
      </c>
      <c r="H107" s="1">
        <v>380000</v>
      </c>
      <c r="I107" s="23" t="str">
        <f>IF(AND(ISNUMBER(MATCH(C107, Discount_Product_Apply!$B$2:$B$30, 0)), G107&gt;=3), "DIS_004", "")</f>
        <v/>
      </c>
      <c r="J107" s="33">
        <f t="shared" si="4"/>
        <v>760000</v>
      </c>
    </row>
    <row r="108" spans="1:10" x14ac:dyDescent="0.35">
      <c r="A108">
        <v>107</v>
      </c>
      <c r="B108" s="23" t="s">
        <v>861</v>
      </c>
      <c r="C108" s="23" t="s">
        <v>486</v>
      </c>
      <c r="D108" s="23" t="s">
        <v>406</v>
      </c>
      <c r="E108" s="23" t="s">
        <v>8</v>
      </c>
      <c r="F108" s="23" t="s">
        <v>20</v>
      </c>
      <c r="G108" s="23">
        <v>2</v>
      </c>
      <c r="H108" s="33">
        <v>230000</v>
      </c>
      <c r="I108" s="23" t="str">
        <f>IF(AND(ISNUMBER(MATCH(C108, Discount_Product_Apply!$B$2:$B$30, 0)), G108&gt;=3), "DIS_004", "")</f>
        <v/>
      </c>
      <c r="J108" s="33">
        <f t="shared" si="4"/>
        <v>460000</v>
      </c>
    </row>
    <row r="109" spans="1:10" x14ac:dyDescent="0.35">
      <c r="A109">
        <v>108</v>
      </c>
      <c r="B109" s="23" t="s">
        <v>861</v>
      </c>
      <c r="C109" s="23" t="s">
        <v>745</v>
      </c>
      <c r="D109" s="23" t="s">
        <v>431</v>
      </c>
      <c r="E109" s="23" t="s">
        <v>9</v>
      </c>
      <c r="F109" s="23" t="s">
        <v>11</v>
      </c>
      <c r="G109" s="23">
        <v>1</v>
      </c>
      <c r="H109" s="33">
        <v>320000</v>
      </c>
      <c r="I109" s="23" t="str">
        <f>IF(AND(ISNUMBER(MATCH(C109, Discount_Product_Apply!$B$2:$B$30, 0)), G109&gt;=3), "DIS_004", "")</f>
        <v/>
      </c>
      <c r="J109" s="33">
        <f t="shared" si="4"/>
        <v>320000</v>
      </c>
    </row>
    <row r="110" spans="1:10" x14ac:dyDescent="0.35">
      <c r="A110">
        <v>109</v>
      </c>
      <c r="B110" s="23" t="s">
        <v>862</v>
      </c>
      <c r="C110" s="23" t="s">
        <v>616</v>
      </c>
      <c r="D110" s="23" t="s">
        <v>424</v>
      </c>
      <c r="E110" s="23" t="s">
        <v>8</v>
      </c>
      <c r="F110" s="23" t="s">
        <v>11</v>
      </c>
      <c r="G110" s="23">
        <v>1</v>
      </c>
      <c r="H110" s="1">
        <v>380000</v>
      </c>
      <c r="I110" s="23" t="str">
        <f>IF(AND(ISNUMBER(MATCH(C110, Discount_Product_Apply!$B$2:$B$30, 0)), G110&gt;=3), "DIS_004", "")</f>
        <v/>
      </c>
      <c r="J110" s="33">
        <f t="shared" si="4"/>
        <v>380000</v>
      </c>
    </row>
    <row r="111" spans="1:10" x14ac:dyDescent="0.35">
      <c r="A111">
        <v>110</v>
      </c>
      <c r="B111" s="23" t="s">
        <v>862</v>
      </c>
      <c r="C111" s="23" t="s">
        <v>511</v>
      </c>
      <c r="D111" s="23" t="s">
        <v>422</v>
      </c>
      <c r="E111" s="23" t="s">
        <v>438</v>
      </c>
      <c r="F111" s="23" t="s">
        <v>20</v>
      </c>
      <c r="G111" s="23">
        <v>3</v>
      </c>
      <c r="H111" s="33">
        <v>235000</v>
      </c>
      <c r="I111" s="23" t="str">
        <f>IF(AND(ISNUMBER(MATCH(C111, Discount_Product_Apply!$B$2:$B$30, 0)), G111&gt;=3), "DIS_004", "")</f>
        <v>DIS_004</v>
      </c>
      <c r="J111" s="33">
        <f t="shared" si="4"/>
        <v>500000</v>
      </c>
    </row>
    <row r="112" spans="1:10" x14ac:dyDescent="0.35">
      <c r="A112">
        <v>111</v>
      </c>
      <c r="B112" s="23" t="s">
        <v>863</v>
      </c>
      <c r="C112" s="23" t="s">
        <v>734</v>
      </c>
      <c r="D112" s="23" t="s">
        <v>428</v>
      </c>
      <c r="E112" s="23" t="s">
        <v>30</v>
      </c>
      <c r="F112" s="23" t="s">
        <v>20</v>
      </c>
      <c r="G112" s="23">
        <v>2</v>
      </c>
      <c r="H112" s="33">
        <v>265000</v>
      </c>
      <c r="I112" s="23" t="str">
        <f>IF(AND(ISNUMBER(MATCH(C112, Discount_Product_Apply!$B$2:$B$30, 0)), G112&gt;=3), "DIS_004", "")</f>
        <v/>
      </c>
      <c r="J112" s="33">
        <f t="shared" si="4"/>
        <v>530000</v>
      </c>
    </row>
    <row r="113" spans="1:10" x14ac:dyDescent="0.35">
      <c r="A113">
        <v>112</v>
      </c>
      <c r="B113" s="23" t="s">
        <v>863</v>
      </c>
      <c r="C113" s="23" t="s">
        <v>464</v>
      </c>
      <c r="D113" s="23" t="s">
        <v>7</v>
      </c>
      <c r="E113" s="23" t="s">
        <v>8</v>
      </c>
      <c r="F113" s="23" t="s">
        <v>11</v>
      </c>
      <c r="G113" s="23">
        <v>2</v>
      </c>
      <c r="H113" s="33">
        <v>250000</v>
      </c>
      <c r="I113" s="23" t="str">
        <f>IF(AND(ISNUMBER(MATCH(C113, Discount_Product_Apply!$B$2:$B$30, 0)), G113&gt;=3), "DIS_004", "")</f>
        <v/>
      </c>
      <c r="J113" s="33">
        <f t="shared" si="4"/>
        <v>500000</v>
      </c>
    </row>
    <row r="114" spans="1:10" x14ac:dyDescent="0.35">
      <c r="A114">
        <v>113</v>
      </c>
      <c r="B114" s="23" t="s">
        <v>864</v>
      </c>
      <c r="C114" s="23" t="s">
        <v>496</v>
      </c>
      <c r="D114" s="23" t="s">
        <v>416</v>
      </c>
      <c r="E114" s="23" t="s">
        <v>436</v>
      </c>
      <c r="F114" s="23" t="s">
        <v>20</v>
      </c>
      <c r="G114" s="23">
        <v>3</v>
      </c>
      <c r="H114" s="33">
        <v>180000</v>
      </c>
      <c r="I114" s="23" t="str">
        <f>IF(AND(ISNUMBER(MATCH(C114, Discount_Product_Apply!$B$2:$B$30, 0)), G114&gt;=3), "DIS_004", "")</f>
        <v/>
      </c>
      <c r="J114" s="33">
        <f t="shared" si="4"/>
        <v>540000</v>
      </c>
    </row>
    <row r="115" spans="1:10" x14ac:dyDescent="0.35">
      <c r="A115">
        <v>114</v>
      </c>
      <c r="B115" s="23" t="s">
        <v>864</v>
      </c>
      <c r="C115" s="23" t="s">
        <v>759</v>
      </c>
      <c r="D115" s="23" t="s">
        <v>459</v>
      </c>
      <c r="E115" s="23" t="s">
        <v>460</v>
      </c>
      <c r="F115" s="23" t="s">
        <v>20</v>
      </c>
      <c r="G115" s="23">
        <v>1</v>
      </c>
      <c r="H115" s="33">
        <v>335000</v>
      </c>
      <c r="I115" s="23" t="str">
        <f>IF(AND(ISNUMBER(MATCH(C115, Discount_Product_Apply!$B$2:$B$30, 0)), G115&gt;=3), "DIS_004", "")</f>
        <v/>
      </c>
      <c r="J115" s="33">
        <f t="shared" si="4"/>
        <v>335000</v>
      </c>
    </row>
    <row r="116" spans="1:10" x14ac:dyDescent="0.35">
      <c r="A116">
        <v>115</v>
      </c>
      <c r="B116" s="23" t="s">
        <v>865</v>
      </c>
      <c r="C116" s="23" t="s">
        <v>462</v>
      </c>
      <c r="D116" s="23" t="s">
        <v>7</v>
      </c>
      <c r="E116" s="23" t="s">
        <v>8</v>
      </c>
      <c r="F116" s="23" t="s">
        <v>31</v>
      </c>
      <c r="G116" s="23">
        <v>4</v>
      </c>
      <c r="H116" s="33">
        <v>250000</v>
      </c>
      <c r="I116" s="23" t="str">
        <f>IF(AND(ISNUMBER(MATCH(C116, Discount_Product_Apply!$B$2:$B$30, 0)), G116&gt;=3), "DIS_004", "")</f>
        <v/>
      </c>
      <c r="J116" s="33">
        <f t="shared" si="4"/>
        <v>1000000</v>
      </c>
    </row>
    <row r="117" spans="1:10" x14ac:dyDescent="0.35">
      <c r="A117">
        <v>116</v>
      </c>
      <c r="B117" s="23" t="s">
        <v>865</v>
      </c>
      <c r="C117" s="23" t="s">
        <v>536</v>
      </c>
      <c r="D117" s="23" t="s">
        <v>422</v>
      </c>
      <c r="E117" s="23" t="s">
        <v>820</v>
      </c>
      <c r="F117" s="23" t="s">
        <v>11</v>
      </c>
      <c r="G117" s="23">
        <v>3</v>
      </c>
      <c r="H117" s="33">
        <v>235000</v>
      </c>
      <c r="I117" s="23" t="str">
        <f>IF(AND(ISNUMBER(MATCH(C117, Discount_Product_Apply!$B$2:$B$30, 0)), G117&gt;=3), "DIS_004", "")</f>
        <v>DIS_004</v>
      </c>
      <c r="J117" s="33">
        <f t="shared" ref="J117:J148" si="5">IF(I117="DIS_004", INT(G117/3)*500000 + MOD(G117,3)*H117, H117*G117)</f>
        <v>500000</v>
      </c>
    </row>
    <row r="118" spans="1:10" x14ac:dyDescent="0.35">
      <c r="A118">
        <v>117</v>
      </c>
      <c r="B118" s="23" t="s">
        <v>866</v>
      </c>
      <c r="C118" s="23" t="s">
        <v>724</v>
      </c>
      <c r="D118" s="23" t="s">
        <v>426</v>
      </c>
      <c r="E118" s="23" t="s">
        <v>457</v>
      </c>
      <c r="F118" s="23" t="s">
        <v>20</v>
      </c>
      <c r="G118" s="23">
        <v>2</v>
      </c>
      <c r="H118" s="33">
        <v>155000</v>
      </c>
      <c r="I118" s="23" t="str">
        <f>IF(AND(ISNUMBER(MATCH(C118, Discount_Product_Apply!$B$2:$B$30, 0)), G118&gt;=3), "DIS_004", "")</f>
        <v/>
      </c>
      <c r="J118" s="33">
        <f t="shared" si="5"/>
        <v>310000</v>
      </c>
    </row>
    <row r="119" spans="1:10" x14ac:dyDescent="0.35">
      <c r="A119">
        <v>118</v>
      </c>
      <c r="B119" s="23" t="s">
        <v>866</v>
      </c>
      <c r="C119" s="23" t="s">
        <v>476</v>
      </c>
      <c r="D119" s="23" t="s">
        <v>415</v>
      </c>
      <c r="E119" s="23" t="s">
        <v>435</v>
      </c>
      <c r="F119" s="23" t="s">
        <v>20</v>
      </c>
      <c r="G119" s="23">
        <v>2</v>
      </c>
      <c r="H119" s="33">
        <v>180000</v>
      </c>
      <c r="I119" s="23" t="str">
        <f>IF(AND(ISNUMBER(MATCH(C119, Discount_Product_Apply!$B$2:$B$30, 0)), G119&gt;=3), "DIS_004", "")</f>
        <v/>
      </c>
      <c r="J119" s="33">
        <f t="shared" si="5"/>
        <v>360000</v>
      </c>
    </row>
    <row r="120" spans="1:10" x14ac:dyDescent="0.35">
      <c r="A120">
        <v>119</v>
      </c>
      <c r="B120" s="23" t="s">
        <v>867</v>
      </c>
      <c r="C120" s="23" t="s">
        <v>488</v>
      </c>
      <c r="D120" s="23" t="s">
        <v>406</v>
      </c>
      <c r="E120" s="23" t="s">
        <v>8</v>
      </c>
      <c r="F120" s="23" t="s">
        <v>15</v>
      </c>
      <c r="G120" s="23">
        <v>3</v>
      </c>
      <c r="H120" s="33">
        <v>230000</v>
      </c>
      <c r="I120" s="23" t="str">
        <f>IF(AND(ISNUMBER(MATCH(C120, Discount_Product_Apply!$B$2:$B$30, 0)), G120&gt;=3), "DIS_004", "")</f>
        <v>DIS_004</v>
      </c>
      <c r="J120" s="33">
        <f t="shared" si="5"/>
        <v>500000</v>
      </c>
    </row>
    <row r="121" spans="1:10" x14ac:dyDescent="0.35">
      <c r="A121">
        <v>120</v>
      </c>
      <c r="B121" s="23" t="s">
        <v>867</v>
      </c>
      <c r="C121" s="23" t="s">
        <v>746</v>
      </c>
      <c r="D121" s="23" t="s">
        <v>424</v>
      </c>
      <c r="E121" s="23" t="s">
        <v>8</v>
      </c>
      <c r="F121" s="23" t="s">
        <v>11</v>
      </c>
      <c r="G121" s="23">
        <v>1</v>
      </c>
      <c r="H121" s="33">
        <v>380000</v>
      </c>
      <c r="I121" s="23" t="str">
        <f>IF(AND(ISNUMBER(MATCH(C121, Discount_Product_Apply!$B$2:$B$30, 0)), G121&gt;=3), "DIS_004", "")</f>
        <v/>
      </c>
      <c r="J121" s="33">
        <f t="shared" si="5"/>
        <v>380000</v>
      </c>
    </row>
    <row r="122" spans="1:10" x14ac:dyDescent="0.35">
      <c r="A122">
        <v>121</v>
      </c>
      <c r="B122" s="23" t="s">
        <v>868</v>
      </c>
      <c r="C122" s="23" t="s">
        <v>754</v>
      </c>
      <c r="D122" s="23" t="s">
        <v>458</v>
      </c>
      <c r="E122" s="23" t="s">
        <v>9</v>
      </c>
      <c r="F122" s="23" t="s">
        <v>11</v>
      </c>
      <c r="G122" s="23">
        <v>2</v>
      </c>
      <c r="H122" s="33">
        <v>270000</v>
      </c>
      <c r="I122" s="23" t="str">
        <f>IF(AND(ISNUMBER(MATCH(C122, Discount_Product_Apply!$B$2:$B$30, 0)), G122&gt;=3), "DIS_004", "")</f>
        <v/>
      </c>
      <c r="J122" s="33">
        <f t="shared" si="5"/>
        <v>540000</v>
      </c>
    </row>
    <row r="123" spans="1:10" x14ac:dyDescent="0.35">
      <c r="A123">
        <v>122</v>
      </c>
      <c r="B123" s="23" t="s">
        <v>868</v>
      </c>
      <c r="C123" s="23" t="s">
        <v>467</v>
      </c>
      <c r="D123" s="23" t="s">
        <v>421</v>
      </c>
      <c r="E123" s="23" t="s">
        <v>13</v>
      </c>
      <c r="F123" s="23" t="s">
        <v>11</v>
      </c>
      <c r="G123" s="23">
        <v>3</v>
      </c>
      <c r="H123" s="33">
        <v>200000</v>
      </c>
      <c r="I123" s="23" t="str">
        <f>IF(AND(ISNUMBER(MATCH(C123, Discount_Product_Apply!$B$2:$B$30, 0)), G123&gt;=3), "DIS_004", "")</f>
        <v/>
      </c>
      <c r="J123" s="33">
        <f t="shared" si="5"/>
        <v>600000</v>
      </c>
    </row>
    <row r="124" spans="1:10" x14ac:dyDescent="0.35">
      <c r="A124">
        <v>123</v>
      </c>
      <c r="B124" s="23" t="s">
        <v>869</v>
      </c>
      <c r="C124" s="23" t="s">
        <v>709</v>
      </c>
      <c r="D124" s="23" t="s">
        <v>420</v>
      </c>
      <c r="E124" s="23" t="s">
        <v>455</v>
      </c>
      <c r="F124" s="23" t="s">
        <v>20</v>
      </c>
      <c r="G124" s="23">
        <v>1</v>
      </c>
      <c r="H124" s="33">
        <v>155000</v>
      </c>
      <c r="I124" s="23" t="str">
        <f>IF(AND(ISNUMBER(MATCH(C124, Discount_Product_Apply!$B$2:$B$30, 0)), G124&gt;=3), "DIS_004", "")</f>
        <v/>
      </c>
      <c r="J124" s="33">
        <f t="shared" si="5"/>
        <v>155000</v>
      </c>
    </row>
    <row r="125" spans="1:10" x14ac:dyDescent="0.35">
      <c r="A125">
        <v>124</v>
      </c>
      <c r="B125" s="23" t="s">
        <v>869</v>
      </c>
      <c r="C125" s="23" t="s">
        <v>513</v>
      </c>
      <c r="D125" s="23" t="s">
        <v>422</v>
      </c>
      <c r="E125" s="23" t="s">
        <v>438</v>
      </c>
      <c r="F125" s="23" t="s">
        <v>15</v>
      </c>
      <c r="G125" s="23">
        <v>2</v>
      </c>
      <c r="H125" s="33">
        <v>235000</v>
      </c>
      <c r="I125" s="23" t="str">
        <f>IF(AND(ISNUMBER(MATCH(C125, Discount_Product_Apply!$B$2:$B$30, 0)), G125&gt;=3), "DIS_004", "")</f>
        <v/>
      </c>
      <c r="J125" s="33">
        <f t="shared" si="5"/>
        <v>470000</v>
      </c>
    </row>
    <row r="126" spans="1:10" x14ac:dyDescent="0.35">
      <c r="A126">
        <v>125</v>
      </c>
      <c r="B126" s="23" t="s">
        <v>870</v>
      </c>
      <c r="C126" s="23" t="s">
        <v>465</v>
      </c>
      <c r="D126" s="23" t="s">
        <v>7</v>
      </c>
      <c r="E126" s="23" t="s">
        <v>8</v>
      </c>
      <c r="F126" s="23" t="s">
        <v>15</v>
      </c>
      <c r="G126" s="23">
        <v>3</v>
      </c>
      <c r="H126" s="33">
        <v>250000</v>
      </c>
      <c r="I126" s="23" t="str">
        <f>IF(AND(ISNUMBER(MATCH(C126, Discount_Product_Apply!$B$2:$B$30, 0)), G126&gt;=3), "DIS_004", "")</f>
        <v/>
      </c>
      <c r="J126" s="33">
        <f t="shared" si="5"/>
        <v>750000</v>
      </c>
    </row>
    <row r="127" spans="1:10" x14ac:dyDescent="0.35">
      <c r="A127">
        <v>126</v>
      </c>
      <c r="B127" s="23" t="s">
        <v>870</v>
      </c>
      <c r="C127" s="23" t="s">
        <v>735</v>
      </c>
      <c r="D127" s="23" t="s">
        <v>428</v>
      </c>
      <c r="E127" s="23" t="s">
        <v>30</v>
      </c>
      <c r="F127" s="23" t="s">
        <v>11</v>
      </c>
      <c r="G127" s="23">
        <v>2</v>
      </c>
      <c r="H127" s="33">
        <v>265000</v>
      </c>
      <c r="I127" s="23" t="str">
        <f>IF(AND(ISNUMBER(MATCH(C127, Discount_Product_Apply!$B$2:$B$30, 0)), G127&gt;=3), "DIS_004", "")</f>
        <v/>
      </c>
      <c r="J127" s="33">
        <f t="shared" si="5"/>
        <v>530000</v>
      </c>
    </row>
    <row r="128" spans="1:10" x14ac:dyDescent="0.35">
      <c r="A128">
        <v>127</v>
      </c>
      <c r="B128" s="23" t="s">
        <v>871</v>
      </c>
      <c r="C128" s="23" t="s">
        <v>497</v>
      </c>
      <c r="D128" s="23" t="s">
        <v>416</v>
      </c>
      <c r="E128" s="23" t="s">
        <v>436</v>
      </c>
      <c r="F128" s="23" t="s">
        <v>11</v>
      </c>
      <c r="G128" s="23">
        <v>3</v>
      </c>
      <c r="H128" s="33">
        <v>180000</v>
      </c>
      <c r="I128" s="23" t="str">
        <f>IF(AND(ISNUMBER(MATCH(C128, Discount_Product_Apply!$B$2:$B$30, 0)), G128&gt;=3), "DIS_004", "")</f>
        <v/>
      </c>
      <c r="J128" s="33">
        <f t="shared" si="5"/>
        <v>540000</v>
      </c>
    </row>
    <row r="129" spans="1:10" x14ac:dyDescent="0.35">
      <c r="A129">
        <v>128</v>
      </c>
      <c r="B129" s="23" t="s">
        <v>871</v>
      </c>
      <c r="C129" s="23" t="s">
        <v>760</v>
      </c>
      <c r="D129" s="23" t="s">
        <v>459</v>
      </c>
      <c r="E129" s="23" t="s">
        <v>460</v>
      </c>
      <c r="F129" s="23" t="s">
        <v>11</v>
      </c>
      <c r="G129" s="23">
        <v>1</v>
      </c>
      <c r="H129" s="33">
        <v>335000</v>
      </c>
      <c r="I129" s="23" t="str">
        <f>IF(AND(ISNUMBER(MATCH(C129, Discount_Product_Apply!$B$2:$B$30, 0)), G129&gt;=3), "DIS_004", "")</f>
        <v/>
      </c>
      <c r="J129" s="33">
        <f t="shared" si="5"/>
        <v>335000</v>
      </c>
    </row>
    <row r="130" spans="1:10" x14ac:dyDescent="0.35">
      <c r="A130">
        <v>129</v>
      </c>
      <c r="B130" s="23" t="s">
        <v>872</v>
      </c>
      <c r="C130" s="23" t="s">
        <v>616</v>
      </c>
      <c r="D130" s="23" t="s">
        <v>424</v>
      </c>
      <c r="E130" s="23" t="s">
        <v>8</v>
      </c>
      <c r="F130" s="23" t="s">
        <v>15</v>
      </c>
      <c r="G130" s="23">
        <v>1</v>
      </c>
      <c r="H130" s="33">
        <v>380000</v>
      </c>
      <c r="I130" s="23" t="str">
        <f>IF(AND(ISNUMBER(MATCH(C130, Discount_Product_Apply!$B$2:$B$30, 0)), G130&gt;=3), "DIS_004", "")</f>
        <v/>
      </c>
      <c r="J130" s="33">
        <f t="shared" si="5"/>
        <v>380000</v>
      </c>
    </row>
    <row r="131" spans="1:10" x14ac:dyDescent="0.35">
      <c r="A131">
        <v>130</v>
      </c>
      <c r="B131" s="23" t="s">
        <v>872</v>
      </c>
      <c r="C131" s="23" t="s">
        <v>487</v>
      </c>
      <c r="D131" s="23" t="s">
        <v>406</v>
      </c>
      <c r="E131" s="23" t="s">
        <v>8</v>
      </c>
      <c r="F131" s="23" t="s">
        <v>11</v>
      </c>
      <c r="G131" s="23">
        <v>3</v>
      </c>
      <c r="H131" s="33">
        <v>230000</v>
      </c>
      <c r="I131" s="23" t="str">
        <f>IF(AND(ISNUMBER(MATCH(C131, Discount_Product_Apply!$B$2:$B$30, 0)), G131&gt;=3), "DIS_004", "")</f>
        <v>DIS_004</v>
      </c>
      <c r="J131" s="33">
        <f t="shared" si="5"/>
        <v>500000</v>
      </c>
    </row>
    <row r="132" spans="1:10" x14ac:dyDescent="0.35">
      <c r="A132">
        <v>131</v>
      </c>
      <c r="B132" s="23" t="s">
        <v>873</v>
      </c>
      <c r="C132" s="23" t="s">
        <v>744</v>
      </c>
      <c r="D132" s="23" t="s">
        <v>431</v>
      </c>
      <c r="E132" s="23" t="s">
        <v>9</v>
      </c>
      <c r="F132" s="23" t="s">
        <v>20</v>
      </c>
      <c r="G132" s="23">
        <v>2</v>
      </c>
      <c r="H132" s="33">
        <v>320000</v>
      </c>
      <c r="I132" s="23" t="str">
        <f>IF(AND(ISNUMBER(MATCH(C132, Discount_Product_Apply!$B$2:$B$30, 0)), G132&gt;=3), "DIS_004", "")</f>
        <v/>
      </c>
      <c r="J132" s="33">
        <f t="shared" si="5"/>
        <v>640000</v>
      </c>
    </row>
    <row r="133" spans="1:10" x14ac:dyDescent="0.35">
      <c r="A133">
        <v>132</v>
      </c>
      <c r="B133" s="23" t="s">
        <v>873</v>
      </c>
      <c r="C133" s="23" t="s">
        <v>468</v>
      </c>
      <c r="D133" s="23" t="s">
        <v>421</v>
      </c>
      <c r="E133" s="23" t="s">
        <v>13</v>
      </c>
      <c r="F133" s="23" t="s">
        <v>15</v>
      </c>
      <c r="G133" s="23">
        <v>2</v>
      </c>
      <c r="H133" s="33">
        <v>200000</v>
      </c>
      <c r="I133" s="23" t="str">
        <f>IF(AND(ISNUMBER(MATCH(C133, Discount_Product_Apply!$B$2:$B$30, 0)), G133&gt;=3), "DIS_004", "")</f>
        <v/>
      </c>
      <c r="J133" s="33">
        <f t="shared" si="5"/>
        <v>400000</v>
      </c>
    </row>
    <row r="134" spans="1:10" x14ac:dyDescent="0.35">
      <c r="A134">
        <v>133</v>
      </c>
      <c r="B134" s="23" t="s">
        <v>874</v>
      </c>
      <c r="C134" s="23" t="s">
        <v>710</v>
      </c>
      <c r="D134" s="23" t="s">
        <v>420</v>
      </c>
      <c r="E134" s="23" t="s">
        <v>456</v>
      </c>
      <c r="F134" s="23" t="s">
        <v>11</v>
      </c>
      <c r="G134" s="23">
        <v>1</v>
      </c>
      <c r="H134" s="33">
        <v>155000</v>
      </c>
      <c r="I134" s="23" t="str">
        <f>IF(AND(ISNUMBER(MATCH(C134, Discount_Product_Apply!$B$2:$B$30, 0)), G134&gt;=3), "DIS_004", "")</f>
        <v/>
      </c>
      <c r="J134" s="33">
        <f t="shared" si="5"/>
        <v>155000</v>
      </c>
    </row>
    <row r="135" spans="1:10" x14ac:dyDescent="0.35">
      <c r="A135">
        <v>134</v>
      </c>
      <c r="B135" s="23" t="s">
        <v>874</v>
      </c>
      <c r="C135" s="23" t="s">
        <v>512</v>
      </c>
      <c r="D135" s="23" t="s">
        <v>422</v>
      </c>
      <c r="E135" s="23" t="s">
        <v>438</v>
      </c>
      <c r="F135" s="23" t="s">
        <v>11</v>
      </c>
      <c r="G135" s="23">
        <v>3</v>
      </c>
      <c r="H135" s="33">
        <v>235000</v>
      </c>
      <c r="I135" s="23" t="str">
        <f>IF(AND(ISNUMBER(MATCH(C135, Discount_Product_Apply!$B$2:$B$30, 0)), G135&gt;=3), "DIS_004", "")</f>
        <v>DIS_004</v>
      </c>
      <c r="J135" s="33">
        <f t="shared" si="5"/>
        <v>500000</v>
      </c>
    </row>
    <row r="136" spans="1:10" x14ac:dyDescent="0.35">
      <c r="A136">
        <v>135</v>
      </c>
      <c r="B136" s="23" t="s">
        <v>875</v>
      </c>
      <c r="C136" s="23" t="s">
        <v>463</v>
      </c>
      <c r="D136" s="23" t="s">
        <v>7</v>
      </c>
      <c r="E136" s="23" t="s">
        <v>8</v>
      </c>
      <c r="F136" s="23" t="s">
        <v>20</v>
      </c>
      <c r="G136" s="23">
        <v>2</v>
      </c>
      <c r="H136" s="33">
        <v>250000</v>
      </c>
      <c r="I136" s="23" t="str">
        <f>IF(AND(ISNUMBER(MATCH(C136, Discount_Product_Apply!$B$2:$B$30, 0)), G136&gt;=3), "DIS_004", "")</f>
        <v/>
      </c>
      <c r="J136" s="33">
        <f t="shared" si="5"/>
        <v>500000</v>
      </c>
    </row>
    <row r="137" spans="1:10" x14ac:dyDescent="0.35">
      <c r="A137">
        <v>136</v>
      </c>
      <c r="B137" s="23" t="s">
        <v>875</v>
      </c>
      <c r="C137" s="23" t="s">
        <v>736</v>
      </c>
      <c r="D137" s="23" t="s">
        <v>428</v>
      </c>
      <c r="E137" s="23" t="s">
        <v>30</v>
      </c>
      <c r="F137" s="23" t="s">
        <v>15</v>
      </c>
      <c r="G137" s="23">
        <v>2</v>
      </c>
      <c r="H137" s="33">
        <v>265000</v>
      </c>
      <c r="I137" s="23" t="str">
        <f>IF(AND(ISNUMBER(MATCH(C137, Discount_Product_Apply!$B$2:$B$30, 0)), G137&gt;=3), "DIS_004", "")</f>
        <v/>
      </c>
      <c r="J137" s="33">
        <f t="shared" si="5"/>
        <v>530000</v>
      </c>
    </row>
    <row r="138" spans="1:10" x14ac:dyDescent="0.35">
      <c r="A138">
        <v>137</v>
      </c>
      <c r="B138" s="23" t="s">
        <v>876</v>
      </c>
      <c r="C138" s="23" t="s">
        <v>498</v>
      </c>
      <c r="D138" s="23" t="s">
        <v>416</v>
      </c>
      <c r="E138" s="23" t="s">
        <v>436</v>
      </c>
      <c r="F138" s="23" t="s">
        <v>15</v>
      </c>
      <c r="G138" s="23">
        <v>3</v>
      </c>
      <c r="H138" s="33">
        <v>180000</v>
      </c>
      <c r="I138" s="23" t="str">
        <f>IF(AND(ISNUMBER(MATCH(C138, Discount_Product_Apply!$B$2:$B$30, 0)), G138&gt;=3), "DIS_004", "")</f>
        <v/>
      </c>
      <c r="J138" s="33">
        <f t="shared" si="5"/>
        <v>540000</v>
      </c>
    </row>
    <row r="139" spans="1:10" x14ac:dyDescent="0.35">
      <c r="A139">
        <v>138</v>
      </c>
      <c r="B139" s="23" t="s">
        <v>876</v>
      </c>
      <c r="C139" s="23" t="s">
        <v>761</v>
      </c>
      <c r="D139" s="23" t="s">
        <v>459</v>
      </c>
      <c r="E139" s="23" t="s">
        <v>460</v>
      </c>
      <c r="F139" s="23" t="s">
        <v>15</v>
      </c>
      <c r="G139" s="23">
        <v>1</v>
      </c>
      <c r="H139" s="33">
        <v>335000</v>
      </c>
      <c r="I139" s="23" t="str">
        <f>IF(AND(ISNUMBER(MATCH(C139, Discount_Product_Apply!$B$2:$B$30, 0)), G139&gt;=3), "DIS_004", "")</f>
        <v/>
      </c>
      <c r="J139" s="33">
        <f t="shared" si="5"/>
        <v>335000</v>
      </c>
    </row>
    <row r="140" spans="1:10" x14ac:dyDescent="0.35">
      <c r="A140">
        <v>139</v>
      </c>
      <c r="B140" s="23" t="s">
        <v>877</v>
      </c>
      <c r="C140" s="23" t="s">
        <v>746</v>
      </c>
      <c r="D140" s="23" t="s">
        <v>424</v>
      </c>
      <c r="E140" s="23" t="s">
        <v>8</v>
      </c>
      <c r="F140" s="23" t="s">
        <v>12</v>
      </c>
      <c r="G140" s="23">
        <v>1</v>
      </c>
      <c r="H140" s="33">
        <v>380000</v>
      </c>
      <c r="I140" s="23" t="str">
        <f>IF(AND(ISNUMBER(MATCH(C140, Discount_Product_Apply!$B$2:$B$30, 0)), G140&gt;=3), "DIS_004", "")</f>
        <v/>
      </c>
      <c r="J140" s="33">
        <f t="shared" si="5"/>
        <v>380000</v>
      </c>
    </row>
    <row r="141" spans="1:10" x14ac:dyDescent="0.35">
      <c r="A141">
        <v>140</v>
      </c>
      <c r="B141" s="23" t="s">
        <v>877</v>
      </c>
      <c r="C141" s="23" t="s">
        <v>489</v>
      </c>
      <c r="D141" s="23" t="s">
        <v>406</v>
      </c>
      <c r="E141" s="23" t="s">
        <v>8</v>
      </c>
      <c r="F141" s="23" t="s">
        <v>12</v>
      </c>
      <c r="G141" s="23">
        <v>3</v>
      </c>
      <c r="H141" s="33">
        <v>230000</v>
      </c>
      <c r="I141" s="23" t="str">
        <f>IF(AND(ISNUMBER(MATCH(C141, Discount_Product_Apply!$B$2:$B$30, 0)), G141&gt;=3), "DIS_004", "")</f>
        <v>DIS_004</v>
      </c>
      <c r="J141" s="33">
        <f t="shared" si="5"/>
        <v>500000</v>
      </c>
    </row>
    <row r="142" spans="1:10" x14ac:dyDescent="0.35">
      <c r="A142">
        <v>141</v>
      </c>
      <c r="B142" s="23" t="s">
        <v>878</v>
      </c>
      <c r="C142" s="23" t="s">
        <v>755</v>
      </c>
      <c r="D142" s="23" t="s">
        <v>458</v>
      </c>
      <c r="E142" s="23" t="s">
        <v>9</v>
      </c>
      <c r="F142" s="23" t="s">
        <v>15</v>
      </c>
      <c r="G142" s="23">
        <v>2</v>
      </c>
      <c r="H142" s="33">
        <v>270000</v>
      </c>
      <c r="I142" s="23" t="str">
        <f>IF(AND(ISNUMBER(MATCH(C142, Discount_Product_Apply!$B$2:$B$30, 0)), G142&gt;=3), "DIS_004", "")</f>
        <v/>
      </c>
      <c r="J142" s="33">
        <f t="shared" si="5"/>
        <v>540000</v>
      </c>
    </row>
    <row r="143" spans="1:10" x14ac:dyDescent="0.35">
      <c r="A143">
        <v>142</v>
      </c>
      <c r="B143" s="23" t="s">
        <v>878</v>
      </c>
      <c r="C143" s="23" t="s">
        <v>469</v>
      </c>
      <c r="D143" s="23" t="s">
        <v>421</v>
      </c>
      <c r="E143" s="23" t="s">
        <v>13</v>
      </c>
      <c r="F143" s="23" t="s">
        <v>12</v>
      </c>
      <c r="G143" s="23">
        <v>3</v>
      </c>
      <c r="H143" s="33">
        <v>200000</v>
      </c>
      <c r="I143" s="23" t="str">
        <f>IF(AND(ISNUMBER(MATCH(C143, Discount_Product_Apply!$B$2:$B$30, 0)), G143&gt;=3), "DIS_004", "")</f>
        <v/>
      </c>
      <c r="J143" s="33">
        <f t="shared" si="5"/>
        <v>600000</v>
      </c>
    </row>
    <row r="144" spans="1:10" x14ac:dyDescent="0.35">
      <c r="A144">
        <v>143</v>
      </c>
      <c r="B144" s="23" t="s">
        <v>879</v>
      </c>
      <c r="C144" s="23" t="s">
        <v>711</v>
      </c>
      <c r="D144" s="23" t="s">
        <v>420</v>
      </c>
      <c r="E144" s="23" t="s">
        <v>456</v>
      </c>
      <c r="F144" s="23" t="s">
        <v>15</v>
      </c>
      <c r="G144" s="23">
        <v>1</v>
      </c>
      <c r="H144" s="33">
        <v>155000</v>
      </c>
      <c r="I144" s="23" t="str">
        <f>IF(AND(ISNUMBER(MATCH(C144, Discount_Product_Apply!$B$2:$B$30, 0)), G144&gt;=3), "DIS_004", "")</f>
        <v/>
      </c>
      <c r="J144" s="33">
        <f t="shared" si="5"/>
        <v>155000</v>
      </c>
    </row>
    <row r="145" spans="1:10" x14ac:dyDescent="0.35">
      <c r="A145">
        <v>144</v>
      </c>
      <c r="B145" s="23" t="s">
        <v>879</v>
      </c>
      <c r="C145" s="23" t="s">
        <v>514</v>
      </c>
      <c r="D145" s="23" t="s">
        <v>422</v>
      </c>
      <c r="E145" s="23" t="s">
        <v>438</v>
      </c>
      <c r="F145" s="23" t="s">
        <v>12</v>
      </c>
      <c r="G145" s="23">
        <v>3</v>
      </c>
      <c r="H145" s="33">
        <v>235000</v>
      </c>
      <c r="I145" s="23" t="str">
        <f>IF(AND(ISNUMBER(MATCH(C145, Discount_Product_Apply!$B$2:$B$30, 0)), G145&gt;=3), "DIS_004", "")</f>
        <v>DIS_004</v>
      </c>
      <c r="J145" s="33">
        <f t="shared" si="5"/>
        <v>500000</v>
      </c>
    </row>
    <row r="146" spans="1:10" x14ac:dyDescent="0.35">
      <c r="A146">
        <v>145</v>
      </c>
      <c r="B146" s="23" t="s">
        <v>880</v>
      </c>
      <c r="C146" s="23" t="s">
        <v>464</v>
      </c>
      <c r="D146" s="23" t="s">
        <v>7</v>
      </c>
      <c r="E146" s="23" t="s">
        <v>8</v>
      </c>
      <c r="F146" s="23" t="s">
        <v>11</v>
      </c>
      <c r="G146" s="23">
        <v>2</v>
      </c>
      <c r="H146" s="33">
        <v>250000</v>
      </c>
      <c r="I146" s="23" t="str">
        <f>IF(AND(ISNUMBER(MATCH(C146, Discount_Product_Apply!$B$2:$B$30, 0)), G146&gt;=3), "DIS_004", "")</f>
        <v/>
      </c>
      <c r="J146" s="33">
        <f t="shared" si="5"/>
        <v>500000</v>
      </c>
    </row>
    <row r="147" spans="1:10" x14ac:dyDescent="0.35">
      <c r="A147">
        <v>146</v>
      </c>
      <c r="B147" s="23" t="s">
        <v>880</v>
      </c>
      <c r="C147" s="23" t="s">
        <v>737</v>
      </c>
      <c r="D147" s="23" t="s">
        <v>428</v>
      </c>
      <c r="E147" s="23" t="s">
        <v>30</v>
      </c>
      <c r="F147" s="23" t="s">
        <v>12</v>
      </c>
      <c r="G147" s="23">
        <v>2</v>
      </c>
      <c r="H147" s="33">
        <v>265000</v>
      </c>
      <c r="I147" s="23" t="str">
        <f>IF(AND(ISNUMBER(MATCH(C147, Discount_Product_Apply!$B$2:$B$30, 0)), G147&gt;=3), "DIS_004", "")</f>
        <v/>
      </c>
      <c r="J147" s="33">
        <f t="shared" si="5"/>
        <v>530000</v>
      </c>
    </row>
    <row r="148" spans="1:10" x14ac:dyDescent="0.35">
      <c r="A148">
        <v>147</v>
      </c>
      <c r="B148" s="23" t="s">
        <v>881</v>
      </c>
      <c r="C148" s="23" t="s">
        <v>499</v>
      </c>
      <c r="D148" s="23" t="s">
        <v>416</v>
      </c>
      <c r="E148" s="23" t="s">
        <v>436</v>
      </c>
      <c r="F148" s="23" t="s">
        <v>12</v>
      </c>
      <c r="G148" s="23">
        <v>3</v>
      </c>
      <c r="H148" s="33">
        <v>180000</v>
      </c>
      <c r="I148" s="23" t="str">
        <f>IF(AND(ISNUMBER(MATCH(C148, Discount_Product_Apply!$B$2:$B$30, 0)), G148&gt;=3), "DIS_004", "")</f>
        <v/>
      </c>
      <c r="J148" s="33">
        <f t="shared" si="5"/>
        <v>540000</v>
      </c>
    </row>
    <row r="149" spans="1:10" x14ac:dyDescent="0.35">
      <c r="A149">
        <v>148</v>
      </c>
      <c r="B149" s="23" t="s">
        <v>881</v>
      </c>
      <c r="C149" s="23" t="s">
        <v>762</v>
      </c>
      <c r="D149" s="23" t="s">
        <v>459</v>
      </c>
      <c r="E149" s="23" t="s">
        <v>461</v>
      </c>
      <c r="F149" s="23" t="s">
        <v>20</v>
      </c>
      <c r="G149" s="23">
        <v>1</v>
      </c>
      <c r="H149" s="33">
        <v>335000</v>
      </c>
      <c r="I149" s="23" t="str">
        <f>IF(AND(ISNUMBER(MATCH(C149, Discount_Product_Apply!$B$2:$B$30, 0)), G149&gt;=3), "DIS_004", "")</f>
        <v/>
      </c>
      <c r="J149" s="33">
        <f t="shared" ref="J149:J180" si="6">IF(I149="DIS_004", INT(G149/3)*500000 + MOD(G149,3)*H149, H149*G149)</f>
        <v>335000</v>
      </c>
    </row>
    <row r="150" spans="1:10" x14ac:dyDescent="0.35">
      <c r="A150">
        <v>149</v>
      </c>
      <c r="B150" s="23" t="s">
        <v>882</v>
      </c>
      <c r="C150" s="23" t="s">
        <v>616</v>
      </c>
      <c r="D150" s="23" t="s">
        <v>424</v>
      </c>
      <c r="E150" s="23" t="s">
        <v>8</v>
      </c>
      <c r="F150" s="23" t="s">
        <v>20</v>
      </c>
      <c r="G150" s="23">
        <v>1</v>
      </c>
      <c r="H150" s="33">
        <v>380000</v>
      </c>
      <c r="I150" s="23" t="str">
        <f>IF(AND(ISNUMBER(MATCH(C150, Discount_Product_Apply!$B$2:$B$30, 0)), G150&gt;=3), "DIS_004", "")</f>
        <v/>
      </c>
      <c r="J150" s="33">
        <f t="shared" si="6"/>
        <v>380000</v>
      </c>
    </row>
    <row r="151" spans="1:10" x14ac:dyDescent="0.35">
      <c r="A151">
        <v>150</v>
      </c>
      <c r="B151" s="23" t="s">
        <v>882</v>
      </c>
      <c r="C151" s="23" t="s">
        <v>490</v>
      </c>
      <c r="D151" s="23" t="s">
        <v>406</v>
      </c>
      <c r="E151" s="23" t="s">
        <v>8</v>
      </c>
      <c r="F151" s="23" t="s">
        <v>19</v>
      </c>
      <c r="G151" s="23">
        <v>3</v>
      </c>
      <c r="H151" s="33">
        <v>230000</v>
      </c>
      <c r="I151" s="23" t="str">
        <f>IF(AND(ISNUMBER(MATCH(C151, Discount_Product_Apply!$B$2:$B$30, 0)), G151&gt;=3), "DIS_004", "")</f>
        <v>DIS_004</v>
      </c>
      <c r="J151" s="33">
        <f t="shared" si="6"/>
        <v>500000</v>
      </c>
    </row>
    <row r="152" spans="1:10" x14ac:dyDescent="0.35">
      <c r="A152">
        <v>151</v>
      </c>
      <c r="B152" s="23" t="s">
        <v>883</v>
      </c>
      <c r="C152" s="23" t="s">
        <v>746</v>
      </c>
      <c r="D152" s="23" t="s">
        <v>431</v>
      </c>
      <c r="E152" s="23" t="s">
        <v>9</v>
      </c>
      <c r="F152" s="23" t="s">
        <v>12</v>
      </c>
      <c r="G152" s="23">
        <v>2</v>
      </c>
      <c r="H152" s="33">
        <v>320000</v>
      </c>
      <c r="I152" s="23" t="str">
        <f>IF(AND(ISNUMBER(MATCH(C152, Discount_Product_Apply!$B$2:$B$30, 0)), G152&gt;=3), "DIS_004", "")</f>
        <v/>
      </c>
      <c r="J152" s="33">
        <f t="shared" si="6"/>
        <v>640000</v>
      </c>
    </row>
    <row r="153" spans="1:10" x14ac:dyDescent="0.35">
      <c r="A153">
        <v>152</v>
      </c>
      <c r="B153" s="23" t="s">
        <v>883</v>
      </c>
      <c r="C153" s="23" t="s">
        <v>470</v>
      </c>
      <c r="D153" s="23" t="s">
        <v>421</v>
      </c>
      <c r="E153" s="23" t="s">
        <v>13</v>
      </c>
      <c r="F153" s="23" t="s">
        <v>19</v>
      </c>
      <c r="G153" s="23">
        <v>2</v>
      </c>
      <c r="H153" s="33">
        <v>200000</v>
      </c>
      <c r="I153" s="23" t="str">
        <f>IF(AND(ISNUMBER(MATCH(C153, Discount_Product_Apply!$B$2:$B$30, 0)), G153&gt;=3), "DIS_004", "")</f>
        <v/>
      </c>
      <c r="J153" s="33">
        <f t="shared" si="6"/>
        <v>400000</v>
      </c>
    </row>
    <row r="154" spans="1:10" x14ac:dyDescent="0.35">
      <c r="A154">
        <v>153</v>
      </c>
      <c r="B154" s="23" t="s">
        <v>884</v>
      </c>
      <c r="C154" s="23" t="s">
        <v>712</v>
      </c>
      <c r="D154" s="23" t="s">
        <v>420</v>
      </c>
      <c r="E154" s="23" t="s">
        <v>456</v>
      </c>
      <c r="F154" s="23" t="s">
        <v>12</v>
      </c>
      <c r="G154" s="23">
        <v>1</v>
      </c>
      <c r="H154" s="33">
        <v>155000</v>
      </c>
      <c r="I154" s="23" t="str">
        <f>IF(AND(ISNUMBER(MATCH(C154, Discount_Product_Apply!$B$2:$B$30, 0)), G154&gt;=3), "DIS_004", "")</f>
        <v/>
      </c>
      <c r="J154" s="33">
        <f t="shared" si="6"/>
        <v>155000</v>
      </c>
    </row>
    <row r="155" spans="1:10" x14ac:dyDescent="0.35">
      <c r="A155">
        <v>154</v>
      </c>
      <c r="B155" s="23" t="s">
        <v>884</v>
      </c>
      <c r="C155" s="23" t="s">
        <v>515</v>
      </c>
      <c r="D155" s="23" t="s">
        <v>422</v>
      </c>
      <c r="E155" s="23" t="s">
        <v>438</v>
      </c>
      <c r="F155" s="23" t="s">
        <v>19</v>
      </c>
      <c r="G155" s="23">
        <v>3</v>
      </c>
      <c r="H155" s="33">
        <v>235000</v>
      </c>
      <c r="I155" s="23" t="str">
        <f>IF(AND(ISNUMBER(MATCH(C155, Discount_Product_Apply!$B$2:$B$30, 0)), G155&gt;=3), "DIS_004", "")</f>
        <v>DIS_004</v>
      </c>
      <c r="J155" s="33">
        <f t="shared" si="6"/>
        <v>500000</v>
      </c>
    </row>
    <row r="156" spans="1:10" x14ac:dyDescent="0.35">
      <c r="A156">
        <v>155</v>
      </c>
      <c r="B156" s="23" t="s">
        <v>885</v>
      </c>
      <c r="C156" s="23" t="s">
        <v>465</v>
      </c>
      <c r="D156" s="23" t="s">
        <v>7</v>
      </c>
      <c r="E156" s="23" t="s">
        <v>8</v>
      </c>
      <c r="F156" s="23" t="s">
        <v>15</v>
      </c>
      <c r="G156" s="23">
        <v>2</v>
      </c>
      <c r="H156" s="33">
        <v>250000</v>
      </c>
      <c r="I156" s="23" t="str">
        <f>IF(AND(ISNUMBER(MATCH(C156, Discount_Product_Apply!$B$2:$B$30, 0)), G156&gt;=3), "DIS_004", "")</f>
        <v/>
      </c>
      <c r="J156" s="33">
        <f t="shared" si="6"/>
        <v>500000</v>
      </c>
    </row>
    <row r="157" spans="1:10" x14ac:dyDescent="0.35">
      <c r="A157">
        <v>156</v>
      </c>
      <c r="B157" s="23" t="s">
        <v>885</v>
      </c>
      <c r="C157" s="23" t="s">
        <v>738</v>
      </c>
      <c r="D157" s="23" t="s">
        <v>428</v>
      </c>
      <c r="E157" s="23" t="s">
        <v>30</v>
      </c>
      <c r="F157" s="23" t="s">
        <v>19</v>
      </c>
      <c r="G157" s="23">
        <v>2</v>
      </c>
      <c r="H157" s="33">
        <v>265000</v>
      </c>
      <c r="I157" s="23" t="str">
        <f>IF(AND(ISNUMBER(MATCH(C157, Discount_Product_Apply!$B$2:$B$30, 0)), G157&gt;=3), "DIS_004", "")</f>
        <v/>
      </c>
      <c r="J157" s="33">
        <f t="shared" si="6"/>
        <v>530000</v>
      </c>
    </row>
    <row r="158" spans="1:10" x14ac:dyDescent="0.35">
      <c r="A158">
        <v>157</v>
      </c>
      <c r="B158" s="23" t="s">
        <v>885</v>
      </c>
      <c r="C158" s="23" t="s">
        <v>738</v>
      </c>
      <c r="D158" s="23" t="s">
        <v>428</v>
      </c>
      <c r="E158" s="23" t="s">
        <v>30</v>
      </c>
      <c r="F158" s="23" t="s">
        <v>19</v>
      </c>
      <c r="G158" s="23">
        <v>4</v>
      </c>
      <c r="H158" s="33">
        <v>265000</v>
      </c>
      <c r="I158" s="23" t="str">
        <f>IF(AND(ISNUMBER(MATCH(C158, Discount_Product_Apply!$B$2:$B$30, 0)), G158&gt;=3), "DIS_004", "")</f>
        <v/>
      </c>
      <c r="J158" s="33">
        <f t="shared" si="6"/>
        <v>1060000</v>
      </c>
    </row>
    <row r="159" spans="1:10" ht="14" customHeight="1" x14ac:dyDescent="0.35">
      <c r="A159">
        <v>158</v>
      </c>
      <c r="B159" s="23" t="s">
        <v>887</v>
      </c>
      <c r="C159" s="23" t="s">
        <v>511</v>
      </c>
      <c r="D159" s="23" t="s">
        <v>422</v>
      </c>
      <c r="E159" s="23" t="s">
        <v>438</v>
      </c>
      <c r="F159" s="23" t="s">
        <v>20</v>
      </c>
      <c r="G159" s="23">
        <v>1</v>
      </c>
      <c r="H159" s="33">
        <v>235000</v>
      </c>
      <c r="I159" s="23" t="str">
        <f>IF(AND(ISNUMBER(MATCH(C159, Discount_Product_Apply!$B$2:$B$30, 0)), G159&gt;=3), "DIS_004", "")</f>
        <v/>
      </c>
      <c r="J159" s="33">
        <f t="shared" si="6"/>
        <v>235000</v>
      </c>
    </row>
    <row r="160" spans="1:10" x14ac:dyDescent="0.35">
      <c r="A160">
        <v>159</v>
      </c>
      <c r="B160" s="23" t="s">
        <v>888</v>
      </c>
      <c r="C160" s="23" t="s">
        <v>596</v>
      </c>
      <c r="D160" s="23" t="s">
        <v>449</v>
      </c>
      <c r="E160" s="23" t="s">
        <v>8</v>
      </c>
      <c r="F160" s="23" t="s">
        <v>15</v>
      </c>
      <c r="G160" s="23">
        <v>1</v>
      </c>
      <c r="H160" s="33">
        <v>230000</v>
      </c>
      <c r="I160" s="23" t="str">
        <f>IF(AND(ISNUMBER(MATCH(C160, Discount_Product_Apply!$B$2:$B$30, 0)), G160&gt;=3), "DIS_004", "")</f>
        <v/>
      </c>
      <c r="J160" s="33">
        <f t="shared" si="6"/>
        <v>230000</v>
      </c>
    </row>
    <row r="161" spans="1:10" x14ac:dyDescent="0.35">
      <c r="A161">
        <v>160</v>
      </c>
      <c r="B161" s="23" t="s">
        <v>889</v>
      </c>
      <c r="C161" s="23" t="s">
        <v>486</v>
      </c>
      <c r="D161" s="23" t="s">
        <v>406</v>
      </c>
      <c r="E161" s="23" t="s">
        <v>8</v>
      </c>
      <c r="F161" s="23" t="s">
        <v>20</v>
      </c>
      <c r="G161" s="23">
        <v>1</v>
      </c>
      <c r="H161" s="33">
        <v>230000</v>
      </c>
      <c r="I161" s="23" t="str">
        <f>IF(AND(ISNUMBER(MATCH(C161, Discount_Product_Apply!$B$2:$B$30, 0)), G161&gt;=3), "DIS_004", "")</f>
        <v/>
      </c>
      <c r="J161" s="33">
        <f t="shared" si="6"/>
        <v>230000</v>
      </c>
    </row>
    <row r="162" spans="1:10" x14ac:dyDescent="0.35">
      <c r="A162">
        <v>161</v>
      </c>
      <c r="B162" s="23" t="s">
        <v>890</v>
      </c>
      <c r="C162" s="23" t="s">
        <v>745</v>
      </c>
      <c r="D162" s="37" t="s">
        <v>431</v>
      </c>
      <c r="E162" s="23" t="s">
        <v>9</v>
      </c>
      <c r="F162" s="23" t="s">
        <v>11</v>
      </c>
      <c r="G162" s="23">
        <v>1</v>
      </c>
      <c r="H162" s="33">
        <v>320000</v>
      </c>
      <c r="I162" s="23" t="str">
        <f>IF(AND(ISNUMBER(MATCH(C162, Discount_Product_Apply!$B$2:$B$30, 0)), G162&gt;=3), "DIS_004", "")</f>
        <v/>
      </c>
      <c r="J162" s="33">
        <f t="shared" si="6"/>
        <v>320000</v>
      </c>
    </row>
    <row r="163" spans="1:10" x14ac:dyDescent="0.35">
      <c r="A163">
        <v>162</v>
      </c>
      <c r="B163" s="23" t="s">
        <v>891</v>
      </c>
      <c r="C163" s="23" t="s">
        <v>471</v>
      </c>
      <c r="D163" s="23" t="s">
        <v>421</v>
      </c>
      <c r="E163" s="23" t="s">
        <v>434</v>
      </c>
      <c r="F163" s="23" t="s">
        <v>20</v>
      </c>
      <c r="G163" s="23">
        <v>1</v>
      </c>
      <c r="H163" s="33">
        <v>200000</v>
      </c>
      <c r="I163" s="23" t="str">
        <f>IF(AND(ISNUMBER(MATCH(C163, Discount_Product_Apply!$B$2:$B$30, 0)), G163&gt;=3), "DIS_004", "")</f>
        <v/>
      </c>
      <c r="J163" s="33">
        <f t="shared" si="6"/>
        <v>200000</v>
      </c>
    </row>
    <row r="164" spans="1:10" x14ac:dyDescent="0.35">
      <c r="A164">
        <v>163</v>
      </c>
      <c r="B164" s="23" t="s">
        <v>892</v>
      </c>
      <c r="C164" s="23" t="s">
        <v>599</v>
      </c>
      <c r="D164" s="23" t="s">
        <v>449</v>
      </c>
      <c r="E164" s="23" t="s">
        <v>30</v>
      </c>
      <c r="F164" s="23" t="s">
        <v>15</v>
      </c>
      <c r="G164" s="23">
        <v>1</v>
      </c>
      <c r="H164" s="33">
        <v>230000</v>
      </c>
      <c r="I164" s="23" t="str">
        <f>IF(AND(ISNUMBER(MATCH(C164, Discount_Product_Apply!$B$2:$B$30, 0)), G164&gt;=3), "DIS_004", "")</f>
        <v/>
      </c>
      <c r="J164" s="33">
        <f t="shared" si="6"/>
        <v>230000</v>
      </c>
    </row>
    <row r="165" spans="1:10" x14ac:dyDescent="0.35">
      <c r="A165">
        <v>164</v>
      </c>
      <c r="B165" s="23" t="s">
        <v>893</v>
      </c>
      <c r="C165" s="23" t="s">
        <v>536</v>
      </c>
      <c r="D165" s="37" t="s">
        <v>14</v>
      </c>
      <c r="E165" s="23" t="s">
        <v>440</v>
      </c>
      <c r="F165" s="23" t="s">
        <v>20</v>
      </c>
      <c r="G165" s="23">
        <v>1</v>
      </c>
      <c r="H165" s="33">
        <v>235000</v>
      </c>
      <c r="I165" s="23" t="str">
        <f>IF(AND(ISNUMBER(MATCH(C165, Discount_Product_Apply!$B$2:$B$30, 0)), G165&gt;=3), "DIS_004", "")</f>
        <v/>
      </c>
      <c r="J165" s="33">
        <f t="shared" si="6"/>
        <v>235000</v>
      </c>
    </row>
    <row r="166" spans="1:10" x14ac:dyDescent="0.35">
      <c r="A166">
        <v>165</v>
      </c>
      <c r="B166" s="23" t="s">
        <v>894</v>
      </c>
      <c r="C166" s="23" t="s">
        <v>744</v>
      </c>
      <c r="D166" s="23" t="s">
        <v>431</v>
      </c>
      <c r="E166" s="23" t="s">
        <v>9</v>
      </c>
      <c r="F166" s="23" t="s">
        <v>20</v>
      </c>
      <c r="G166" s="23">
        <v>1</v>
      </c>
      <c r="H166" s="33">
        <v>320000</v>
      </c>
      <c r="I166" s="23" t="str">
        <f>IF(AND(ISNUMBER(MATCH(C166, Discount_Product_Apply!$B$2:$B$30, 0)), G166&gt;=3), "DIS_004", "")</f>
        <v/>
      </c>
      <c r="J166" s="33">
        <f t="shared" si="6"/>
        <v>320000</v>
      </c>
    </row>
    <row r="167" spans="1:10" x14ac:dyDescent="0.35">
      <c r="A167">
        <v>166</v>
      </c>
      <c r="B167" s="23" t="s">
        <v>895</v>
      </c>
      <c r="C167" s="23" t="s">
        <v>512</v>
      </c>
      <c r="D167" s="23" t="s">
        <v>422</v>
      </c>
      <c r="E167" s="23" t="s">
        <v>438</v>
      </c>
      <c r="F167" s="23" t="s">
        <v>11</v>
      </c>
      <c r="G167" s="23">
        <v>1</v>
      </c>
      <c r="H167" s="33">
        <v>235000</v>
      </c>
      <c r="I167" s="23" t="str">
        <f>IF(AND(ISNUMBER(MATCH(C167, Discount_Product_Apply!$B$2:$B$30, 0)), G167&gt;=3), "DIS_004", "")</f>
        <v/>
      </c>
      <c r="J167" s="33">
        <f t="shared" si="6"/>
        <v>235000</v>
      </c>
    </row>
    <row r="168" spans="1:10" x14ac:dyDescent="0.35">
      <c r="A168">
        <v>167</v>
      </c>
      <c r="B168" s="23" t="s">
        <v>896</v>
      </c>
      <c r="C168" s="23" t="s">
        <v>462</v>
      </c>
      <c r="D168" s="23" t="s">
        <v>7</v>
      </c>
      <c r="E168" s="23" t="s">
        <v>8</v>
      </c>
      <c r="F168" s="23" t="s">
        <v>31</v>
      </c>
      <c r="G168" s="23">
        <v>1</v>
      </c>
      <c r="H168" s="33">
        <v>250000</v>
      </c>
      <c r="I168" s="23" t="str">
        <f>IF(AND(ISNUMBER(MATCH(C168, Discount_Product_Apply!$B$2:$B$30, 0)), G168&gt;=3), "DIS_004", "")</f>
        <v/>
      </c>
      <c r="J168" s="33">
        <f t="shared" si="6"/>
        <v>250000</v>
      </c>
    </row>
    <row r="169" spans="1:10" x14ac:dyDescent="0.35">
      <c r="A169">
        <v>168</v>
      </c>
      <c r="B169" s="23" t="s">
        <v>897</v>
      </c>
      <c r="C169" s="23" t="s">
        <v>761</v>
      </c>
      <c r="D169" s="23" t="s">
        <v>459</v>
      </c>
      <c r="E169" s="23" t="s">
        <v>460</v>
      </c>
      <c r="F169" s="23" t="s">
        <v>15</v>
      </c>
      <c r="G169" s="23">
        <v>1</v>
      </c>
      <c r="H169" s="33">
        <v>335000</v>
      </c>
      <c r="I169" s="23" t="str">
        <f>IF(AND(ISNUMBER(MATCH(C169, Discount_Product_Apply!$B$2:$B$30, 0)), G169&gt;=3), "DIS_004", "")</f>
        <v/>
      </c>
      <c r="J169" s="33">
        <f t="shared" si="6"/>
        <v>335000</v>
      </c>
    </row>
    <row r="170" spans="1:10" x14ac:dyDescent="0.35">
      <c r="A170">
        <v>169</v>
      </c>
      <c r="B170" s="23" t="s">
        <v>898</v>
      </c>
      <c r="C170" s="23" t="s">
        <v>468</v>
      </c>
      <c r="D170" s="23" t="s">
        <v>421</v>
      </c>
      <c r="E170" s="23" t="s">
        <v>13</v>
      </c>
      <c r="F170" s="23" t="s">
        <v>15</v>
      </c>
      <c r="G170" s="23">
        <v>1</v>
      </c>
      <c r="H170" s="33">
        <v>200000</v>
      </c>
      <c r="I170" s="23" t="str">
        <f>IF(AND(ISNUMBER(MATCH(C170, Discount_Product_Apply!$B$2:$B$30, 0)), G170&gt;=3), "DIS_004", "")</f>
        <v/>
      </c>
      <c r="J170" s="33">
        <f t="shared" si="6"/>
        <v>200000</v>
      </c>
    </row>
    <row r="171" spans="1:10" x14ac:dyDescent="0.35">
      <c r="A171">
        <v>170</v>
      </c>
      <c r="B171" s="23" t="s">
        <v>899</v>
      </c>
      <c r="C171" s="23" t="s">
        <v>746</v>
      </c>
      <c r="D171" s="37" t="s">
        <v>431</v>
      </c>
      <c r="E171" s="23" t="s">
        <v>9</v>
      </c>
      <c r="F171" s="23" t="s">
        <v>15</v>
      </c>
      <c r="G171" s="23">
        <v>2</v>
      </c>
      <c r="H171" s="33">
        <v>320000</v>
      </c>
      <c r="I171" s="23" t="str">
        <f>IF(AND(ISNUMBER(MATCH(C171, Discount_Product_Apply!$B$2:$B$30, 0)), G171&gt;=3), "DIS_004", "")</f>
        <v/>
      </c>
      <c r="J171" s="33">
        <f t="shared" si="6"/>
        <v>640000</v>
      </c>
    </row>
    <row r="172" spans="1:10" x14ac:dyDescent="0.35">
      <c r="A172">
        <v>171</v>
      </c>
      <c r="B172" s="23" t="s">
        <v>900</v>
      </c>
      <c r="C172" s="23" t="s">
        <v>474</v>
      </c>
      <c r="D172" s="23" t="s">
        <v>421</v>
      </c>
      <c r="E172" s="23" t="s">
        <v>434</v>
      </c>
      <c r="F172" s="23" t="s">
        <v>12</v>
      </c>
      <c r="G172" s="23">
        <v>2</v>
      </c>
      <c r="H172" s="33">
        <v>200000</v>
      </c>
      <c r="I172" s="23" t="str">
        <f>IF(AND(ISNUMBER(MATCH(C172, Discount_Product_Apply!$B$2:$B$30, 0)), G172&gt;=3), "DIS_004", "")</f>
        <v/>
      </c>
      <c r="J172" s="33">
        <f t="shared" si="6"/>
        <v>400000</v>
      </c>
    </row>
    <row r="173" spans="1:10" x14ac:dyDescent="0.35">
      <c r="A173">
        <v>172</v>
      </c>
      <c r="B173" s="23" t="s">
        <v>901</v>
      </c>
      <c r="C173" s="23" t="s">
        <v>537</v>
      </c>
      <c r="D173" s="37" t="s">
        <v>14</v>
      </c>
      <c r="E173" s="23" t="s">
        <v>440</v>
      </c>
      <c r="F173" s="23" t="s">
        <v>11</v>
      </c>
      <c r="G173" s="23">
        <v>1</v>
      </c>
      <c r="H173" s="33">
        <v>235000</v>
      </c>
      <c r="I173" s="23" t="str">
        <f>IF(AND(ISNUMBER(MATCH(C173, Discount_Product_Apply!$B$2:$B$30, 0)), G173&gt;=3), "DIS_004", "")</f>
        <v/>
      </c>
      <c r="J173" s="33">
        <f t="shared" si="6"/>
        <v>235000</v>
      </c>
    </row>
    <row r="174" spans="1:10" x14ac:dyDescent="0.35">
      <c r="A174">
        <v>173</v>
      </c>
      <c r="B174" s="23" t="s">
        <v>902</v>
      </c>
      <c r="C174" s="23" t="s">
        <v>754</v>
      </c>
      <c r="D174" s="23" t="s">
        <v>458</v>
      </c>
      <c r="E174" s="23" t="s">
        <v>9</v>
      </c>
      <c r="F174" s="23" t="s">
        <v>11</v>
      </c>
      <c r="G174" s="23">
        <v>2</v>
      </c>
      <c r="H174" s="33">
        <v>270000</v>
      </c>
      <c r="I174" s="23" t="str">
        <f>IF(AND(ISNUMBER(MATCH(C174, Discount_Product_Apply!$B$2:$B$30, 0)), G174&gt;=3), "DIS_004", "")</f>
        <v/>
      </c>
      <c r="J174" s="33">
        <f t="shared" si="6"/>
        <v>540000</v>
      </c>
    </row>
    <row r="175" spans="1:10" x14ac:dyDescent="0.35">
      <c r="A175">
        <v>174</v>
      </c>
      <c r="B175" s="23" t="s">
        <v>903</v>
      </c>
      <c r="C175" s="23" t="s">
        <v>496</v>
      </c>
      <c r="D175" s="37" t="s">
        <v>416</v>
      </c>
      <c r="E175" s="23" t="s">
        <v>436</v>
      </c>
      <c r="F175" s="23" t="s">
        <v>20</v>
      </c>
      <c r="G175" s="23">
        <v>2</v>
      </c>
      <c r="H175" s="33">
        <v>180000</v>
      </c>
      <c r="I175" s="23" t="str">
        <f>IF(AND(ISNUMBER(MATCH(C175, Discount_Product_Apply!$B$2:$B$30, 0)), G175&gt;=3), "DIS_004", "")</f>
        <v/>
      </c>
      <c r="J175" s="33">
        <f t="shared" si="6"/>
        <v>360000</v>
      </c>
    </row>
    <row r="176" spans="1:10" x14ac:dyDescent="0.35">
      <c r="A176">
        <v>175</v>
      </c>
      <c r="B176" s="23" t="s">
        <v>904</v>
      </c>
      <c r="C176" s="23" t="s">
        <v>473</v>
      </c>
      <c r="D176" s="37" t="s">
        <v>421</v>
      </c>
      <c r="E176" s="23" t="s">
        <v>434</v>
      </c>
      <c r="F176" s="23" t="s">
        <v>15</v>
      </c>
      <c r="G176" s="23">
        <v>3</v>
      </c>
      <c r="H176" s="33">
        <v>200000</v>
      </c>
      <c r="I176" s="23" t="str">
        <f>IF(AND(ISNUMBER(MATCH(C176, Discount_Product_Apply!$B$2:$B$30, 0)), G176&gt;=3), "DIS_004", "")</f>
        <v/>
      </c>
      <c r="J176" s="33">
        <f t="shared" si="6"/>
        <v>600000</v>
      </c>
    </row>
    <row r="177" spans="1:10" x14ac:dyDescent="0.35">
      <c r="A177">
        <v>176</v>
      </c>
      <c r="B177" s="23" t="s">
        <v>905</v>
      </c>
      <c r="C177" s="23" t="s">
        <v>516</v>
      </c>
      <c r="D177" s="23" t="s">
        <v>422</v>
      </c>
      <c r="E177" s="23" t="s">
        <v>8</v>
      </c>
      <c r="F177" s="23" t="s">
        <v>20</v>
      </c>
      <c r="G177" s="23">
        <v>1</v>
      </c>
      <c r="H177" s="33">
        <v>235000</v>
      </c>
      <c r="I177" s="23" t="str">
        <f>IF(AND(ISNUMBER(MATCH(C177, Discount_Product_Apply!$B$2:$B$30, 0)), G177&gt;=3), "DIS_004", "")</f>
        <v/>
      </c>
      <c r="J177" s="33">
        <f t="shared" si="6"/>
        <v>235000</v>
      </c>
    </row>
    <row r="178" spans="1:10" x14ac:dyDescent="0.35">
      <c r="A178">
        <v>177</v>
      </c>
      <c r="B178" s="23" t="s">
        <v>906</v>
      </c>
      <c r="C178" s="23" t="s">
        <v>734</v>
      </c>
      <c r="D178" s="23" t="s">
        <v>428</v>
      </c>
      <c r="E178" s="23" t="s">
        <v>30</v>
      </c>
      <c r="F178" s="23" t="s">
        <v>20</v>
      </c>
      <c r="G178" s="23">
        <v>2</v>
      </c>
      <c r="H178" s="33">
        <v>265000</v>
      </c>
      <c r="I178" s="23" t="str">
        <f>IF(AND(ISNUMBER(MATCH(C178, Discount_Product_Apply!$B$2:$B$30, 0)), G178&gt;=3), "DIS_004", "")</f>
        <v/>
      </c>
      <c r="J178" s="33">
        <f t="shared" si="6"/>
        <v>530000</v>
      </c>
    </row>
    <row r="179" spans="1:10" x14ac:dyDescent="0.35">
      <c r="A179">
        <v>178</v>
      </c>
      <c r="B179" s="23" t="s">
        <v>907</v>
      </c>
      <c r="C179" s="23" t="s">
        <v>487</v>
      </c>
      <c r="D179" s="23" t="s">
        <v>406</v>
      </c>
      <c r="E179" s="23" t="s">
        <v>8</v>
      </c>
      <c r="F179" s="23" t="s">
        <v>11</v>
      </c>
      <c r="G179" s="23">
        <v>1</v>
      </c>
      <c r="H179" s="33">
        <v>230000</v>
      </c>
      <c r="I179" s="23" t="str">
        <f>IF(AND(ISNUMBER(MATCH(C179, Discount_Product_Apply!$B$2:$B$30, 0)), G179&gt;=3), "DIS_004", "")</f>
        <v/>
      </c>
      <c r="J179" s="33">
        <f t="shared" si="6"/>
        <v>230000</v>
      </c>
    </row>
    <row r="180" spans="1:10" x14ac:dyDescent="0.35">
      <c r="A180">
        <v>179</v>
      </c>
      <c r="B180" s="23" t="s">
        <v>908</v>
      </c>
      <c r="C180" s="23" t="s">
        <v>477</v>
      </c>
      <c r="D180" s="23" t="s">
        <v>415</v>
      </c>
      <c r="E180" s="23" t="s">
        <v>435</v>
      </c>
      <c r="F180" s="23" t="s">
        <v>11</v>
      </c>
      <c r="G180" s="23">
        <v>3</v>
      </c>
      <c r="H180" s="33">
        <v>180000</v>
      </c>
      <c r="I180" s="23" t="str">
        <f>IF(AND(ISNUMBER(MATCH(C180, Discount_Product_Apply!$B$2:$B$30, 0)), G180&gt;=3), "DIS_004", "")</f>
        <v/>
      </c>
      <c r="J180" s="33">
        <f t="shared" si="6"/>
        <v>540000</v>
      </c>
    </row>
    <row r="181" spans="1:10" x14ac:dyDescent="0.35">
      <c r="A181">
        <v>180</v>
      </c>
      <c r="B181" s="23" t="s">
        <v>909</v>
      </c>
      <c r="C181" s="23" t="s">
        <v>759</v>
      </c>
      <c r="D181" s="23" t="s">
        <v>459</v>
      </c>
      <c r="E181" s="23" t="s">
        <v>460</v>
      </c>
      <c r="F181" s="23" t="s">
        <v>20</v>
      </c>
      <c r="G181" s="23">
        <v>2</v>
      </c>
      <c r="H181" s="33">
        <v>335000</v>
      </c>
      <c r="I181" s="23" t="str">
        <f>IF(AND(ISNUMBER(MATCH(C181, Discount_Product_Apply!$B$2:$B$30, 0)), G181&gt;=3), "DIS_004", "")</f>
        <v/>
      </c>
      <c r="J181" s="33">
        <f t="shared" ref="J181:J204" si="7">IF(I181="DIS_004", INT(G181/3)*500000 + MOD(G181,3)*H181, H181*G181)</f>
        <v>670000</v>
      </c>
    </row>
    <row r="182" spans="1:10" x14ac:dyDescent="0.35">
      <c r="A182">
        <v>181</v>
      </c>
      <c r="B182" s="23" t="s">
        <v>910</v>
      </c>
      <c r="C182" s="23" t="s">
        <v>463</v>
      </c>
      <c r="D182" s="23" t="s">
        <v>7</v>
      </c>
      <c r="E182" s="23" t="s">
        <v>8</v>
      </c>
      <c r="F182" s="23" t="s">
        <v>20</v>
      </c>
      <c r="G182" s="23">
        <v>1</v>
      </c>
      <c r="H182" s="33">
        <v>250000</v>
      </c>
      <c r="I182" s="23" t="str">
        <f>IF(AND(ISNUMBER(MATCH(C182, Discount_Product_Apply!$B$2:$B$30, 0)), G182&gt;=3), "DIS_004", "")</f>
        <v/>
      </c>
      <c r="J182" s="33">
        <f t="shared" si="7"/>
        <v>250000</v>
      </c>
    </row>
    <row r="183" spans="1:10" x14ac:dyDescent="0.35">
      <c r="A183">
        <v>182</v>
      </c>
      <c r="B183" s="23" t="s">
        <v>911</v>
      </c>
      <c r="C183" s="23" t="s">
        <v>514</v>
      </c>
      <c r="D183" s="23" t="s">
        <v>422</v>
      </c>
      <c r="E183" s="23" t="s">
        <v>438</v>
      </c>
      <c r="F183" s="23" t="s">
        <v>12</v>
      </c>
      <c r="G183" s="23">
        <v>2</v>
      </c>
      <c r="H183" s="33">
        <v>235000</v>
      </c>
      <c r="I183" s="23" t="str">
        <f>IF(AND(ISNUMBER(MATCH(C183, Discount_Product_Apply!$B$2:$B$30, 0)), G183&gt;=3), "DIS_004", "")</f>
        <v/>
      </c>
      <c r="J183" s="33">
        <f t="shared" si="7"/>
        <v>470000</v>
      </c>
    </row>
    <row r="184" spans="1:10" x14ac:dyDescent="0.35">
      <c r="A184">
        <v>183</v>
      </c>
      <c r="B184" s="23" t="s">
        <v>912</v>
      </c>
      <c r="C184" s="23" t="s">
        <v>741</v>
      </c>
      <c r="D184" s="23" t="s">
        <v>428</v>
      </c>
      <c r="E184" s="23" t="s">
        <v>450</v>
      </c>
      <c r="F184" s="23" t="s">
        <v>15</v>
      </c>
      <c r="G184" s="23">
        <v>1</v>
      </c>
      <c r="H184" s="33">
        <v>265000</v>
      </c>
      <c r="I184" s="23" t="str">
        <f>IF(AND(ISNUMBER(MATCH(C184, Discount_Product_Apply!$B$2:$B$30, 0)), G184&gt;=3), "DIS_004", "")</f>
        <v/>
      </c>
      <c r="J184" s="33">
        <f t="shared" si="7"/>
        <v>265000</v>
      </c>
    </row>
    <row r="185" spans="1:10" x14ac:dyDescent="0.35">
      <c r="A185">
        <v>184</v>
      </c>
      <c r="B185" s="23" t="s">
        <v>913</v>
      </c>
      <c r="C185" s="23" t="s">
        <v>482</v>
      </c>
      <c r="D185" s="23" t="s">
        <v>415</v>
      </c>
      <c r="E185" s="23" t="s">
        <v>9</v>
      </c>
      <c r="F185" s="23" t="s">
        <v>11</v>
      </c>
      <c r="G185" s="23">
        <v>2</v>
      </c>
      <c r="H185" s="33">
        <v>180000</v>
      </c>
      <c r="I185" s="23" t="str">
        <f>IF(AND(ISNUMBER(MATCH(C185, Discount_Product_Apply!$B$2:$B$30, 0)), G185&gt;=3), "DIS_004", "")</f>
        <v/>
      </c>
      <c r="J185" s="33">
        <f t="shared" si="7"/>
        <v>360000</v>
      </c>
    </row>
    <row r="186" spans="1:10" x14ac:dyDescent="0.35">
      <c r="A186">
        <v>185</v>
      </c>
      <c r="B186" s="23" t="s">
        <v>914</v>
      </c>
      <c r="C186" s="23" t="s">
        <v>756</v>
      </c>
      <c r="D186" s="23" t="s">
        <v>458</v>
      </c>
      <c r="E186" s="23" t="s">
        <v>8</v>
      </c>
      <c r="F186" s="23" t="s">
        <v>20</v>
      </c>
      <c r="G186" s="23">
        <v>2</v>
      </c>
      <c r="H186" s="33">
        <v>270000</v>
      </c>
      <c r="I186" s="23" t="str">
        <f>IF(AND(ISNUMBER(MATCH(C186, Discount_Product_Apply!$B$2:$B$30, 0)), G186&gt;=3), "DIS_004", "")</f>
        <v/>
      </c>
      <c r="J186" s="33">
        <f t="shared" si="7"/>
        <v>540000</v>
      </c>
    </row>
    <row r="187" spans="1:10" x14ac:dyDescent="0.35">
      <c r="A187">
        <v>186</v>
      </c>
      <c r="B187" s="23" t="s">
        <v>915</v>
      </c>
      <c r="C187" s="23" t="s">
        <v>470</v>
      </c>
      <c r="D187" s="23" t="s">
        <v>421</v>
      </c>
      <c r="E187" s="23" t="s">
        <v>13</v>
      </c>
      <c r="F187" s="23" t="s">
        <v>19</v>
      </c>
      <c r="G187" s="23">
        <v>1</v>
      </c>
      <c r="H187" s="33">
        <v>200000</v>
      </c>
      <c r="I187" s="23" t="str">
        <f>IF(AND(ISNUMBER(MATCH(C187, Discount_Product_Apply!$B$2:$B$30, 0)), G187&gt;=3), "DIS_004", "")</f>
        <v/>
      </c>
      <c r="J187" s="33">
        <f t="shared" si="7"/>
        <v>200000</v>
      </c>
    </row>
    <row r="188" spans="1:10" x14ac:dyDescent="0.35">
      <c r="A188">
        <v>187</v>
      </c>
      <c r="B188" s="23" t="s">
        <v>916</v>
      </c>
      <c r="C188" s="23" t="s">
        <v>485</v>
      </c>
      <c r="D188" s="23" t="s">
        <v>415</v>
      </c>
      <c r="E188" s="23" t="s">
        <v>9</v>
      </c>
      <c r="F188" s="23" t="s">
        <v>19</v>
      </c>
      <c r="G188" s="23">
        <v>2</v>
      </c>
      <c r="H188" s="33">
        <v>180000</v>
      </c>
      <c r="I188" s="23" t="str">
        <f>IF(AND(ISNUMBER(MATCH(C188, Discount_Product_Apply!$B$2:$B$30, 0)), G188&gt;=3), "DIS_004", "")</f>
        <v/>
      </c>
      <c r="J188" s="33">
        <f t="shared" si="7"/>
        <v>360000</v>
      </c>
    </row>
    <row r="189" spans="1:10" x14ac:dyDescent="0.35">
      <c r="A189">
        <v>188</v>
      </c>
      <c r="B189" s="23" t="s">
        <v>917</v>
      </c>
      <c r="C189" s="23" t="s">
        <v>506</v>
      </c>
      <c r="D189" s="23" t="s">
        <v>416</v>
      </c>
      <c r="E189" s="23" t="s">
        <v>30</v>
      </c>
      <c r="F189" s="23" t="s">
        <v>20</v>
      </c>
      <c r="G189" s="23">
        <v>4</v>
      </c>
      <c r="H189" s="33">
        <v>180000</v>
      </c>
      <c r="I189" s="23" t="str">
        <f>IF(AND(ISNUMBER(MATCH(C189, Discount_Product_Apply!$B$2:$B$30, 0)), G189&gt;=3), "DIS_004", "")</f>
        <v/>
      </c>
      <c r="J189" s="33">
        <f t="shared" si="7"/>
        <v>720000</v>
      </c>
    </row>
    <row r="190" spans="1:10" x14ac:dyDescent="0.35">
      <c r="A190">
        <v>189</v>
      </c>
      <c r="B190" s="23" t="s">
        <v>918</v>
      </c>
      <c r="C190" s="23" t="s">
        <v>747</v>
      </c>
      <c r="D190" s="23" t="s">
        <v>431</v>
      </c>
      <c r="E190" s="23" t="s">
        <v>9</v>
      </c>
      <c r="F190" s="23" t="s">
        <v>12</v>
      </c>
      <c r="G190" s="23">
        <v>1</v>
      </c>
      <c r="H190" s="33">
        <v>320000</v>
      </c>
      <c r="I190" s="23" t="str">
        <f>IF(AND(ISNUMBER(MATCH(C190, Discount_Product_Apply!$B$2:$B$30, 0)), G190&gt;=3), "DIS_004", "")</f>
        <v/>
      </c>
      <c r="J190" s="33">
        <f t="shared" si="7"/>
        <v>320000</v>
      </c>
    </row>
    <row r="191" spans="1:10" x14ac:dyDescent="0.35">
      <c r="A191">
        <v>190</v>
      </c>
      <c r="B191" s="23" t="s">
        <v>919</v>
      </c>
      <c r="C191" s="23" t="s">
        <v>500</v>
      </c>
      <c r="D191" s="23" t="s">
        <v>416</v>
      </c>
      <c r="E191" s="23" t="s">
        <v>436</v>
      </c>
      <c r="F191" s="23" t="s">
        <v>19</v>
      </c>
      <c r="G191" s="23">
        <v>2</v>
      </c>
      <c r="H191" s="33">
        <v>180000</v>
      </c>
      <c r="I191" s="23" t="str">
        <f>IF(AND(ISNUMBER(MATCH(C191, Discount_Product_Apply!$B$2:$B$30, 0)), G191&gt;=3), "DIS_004", "")</f>
        <v/>
      </c>
      <c r="J191" s="33">
        <f t="shared" si="7"/>
        <v>360000</v>
      </c>
    </row>
    <row r="192" spans="1:10" x14ac:dyDescent="0.35">
      <c r="A192">
        <v>191</v>
      </c>
      <c r="B192" s="23" t="s">
        <v>920</v>
      </c>
      <c r="C192" s="23" t="s">
        <v>478</v>
      </c>
      <c r="D192" s="23" t="s">
        <v>415</v>
      </c>
      <c r="E192" s="23" t="s">
        <v>435</v>
      </c>
      <c r="F192" s="23" t="s">
        <v>15</v>
      </c>
      <c r="G192" s="23">
        <v>1</v>
      </c>
      <c r="H192" s="33">
        <v>180000</v>
      </c>
      <c r="I192" s="23" t="str">
        <f>IF(AND(ISNUMBER(MATCH(C192, Discount_Product_Apply!$B$2:$B$30, 0)), G192&gt;=3), "DIS_004", "")</f>
        <v/>
      </c>
      <c r="J192" s="33">
        <f t="shared" si="7"/>
        <v>180000</v>
      </c>
    </row>
    <row r="193" spans="1:10" x14ac:dyDescent="0.35">
      <c r="A193">
        <v>192</v>
      </c>
      <c r="B193" s="23" t="s">
        <v>921</v>
      </c>
      <c r="C193" s="23" t="s">
        <v>758</v>
      </c>
      <c r="D193" s="23" t="s">
        <v>458</v>
      </c>
      <c r="E193" s="23" t="s">
        <v>8</v>
      </c>
      <c r="F193" s="23" t="s">
        <v>15</v>
      </c>
      <c r="G193" s="23">
        <v>3</v>
      </c>
      <c r="H193" s="33">
        <v>335000</v>
      </c>
      <c r="I193" s="23" t="str">
        <f>IF(AND(ISNUMBER(MATCH(C193, Discount_Product_Apply!$B$2:$B$30, 0)), G193&gt;=3), "DIS_004", "")</f>
        <v/>
      </c>
      <c r="J193" s="33">
        <f t="shared" si="7"/>
        <v>1005000</v>
      </c>
    </row>
    <row r="194" spans="1:10" x14ac:dyDescent="0.35">
      <c r="A194">
        <v>193</v>
      </c>
      <c r="B194" s="23" t="s">
        <v>922</v>
      </c>
      <c r="C194" s="23" t="s">
        <v>502</v>
      </c>
      <c r="D194" s="23" t="s">
        <v>416</v>
      </c>
      <c r="E194" s="23" t="s">
        <v>437</v>
      </c>
      <c r="F194" s="23" t="s">
        <v>11</v>
      </c>
      <c r="G194" s="23">
        <v>2</v>
      </c>
      <c r="H194" s="33">
        <v>180000</v>
      </c>
      <c r="I194" s="23" t="str">
        <f>IF(AND(ISNUMBER(MATCH(C194, Discount_Product_Apply!$B$2:$B$30, 0)), G194&gt;=3), "DIS_004", "")</f>
        <v/>
      </c>
      <c r="J194" s="33">
        <f t="shared" si="7"/>
        <v>360000</v>
      </c>
    </row>
    <row r="195" spans="1:10" x14ac:dyDescent="0.35">
      <c r="A195">
        <v>194</v>
      </c>
      <c r="B195" s="23" t="s">
        <v>923</v>
      </c>
      <c r="C195" s="23" t="s">
        <v>464</v>
      </c>
      <c r="D195" s="23" t="s">
        <v>7</v>
      </c>
      <c r="E195" s="23" t="s">
        <v>8</v>
      </c>
      <c r="F195" s="23" t="s">
        <v>11</v>
      </c>
      <c r="G195" s="23">
        <v>1</v>
      </c>
      <c r="H195" s="33">
        <v>250000</v>
      </c>
      <c r="I195" s="23" t="str">
        <f>IF(AND(ISNUMBER(MATCH(C195, Discount_Product_Apply!$B$2:$B$30, 0)), G195&gt;=3), "DIS_004", "")</f>
        <v/>
      </c>
      <c r="J195" s="33">
        <f t="shared" si="7"/>
        <v>250000</v>
      </c>
    </row>
    <row r="196" spans="1:10" x14ac:dyDescent="0.35">
      <c r="A196">
        <v>195</v>
      </c>
      <c r="B196" s="23" t="s">
        <v>924</v>
      </c>
      <c r="C196" s="23" t="s">
        <v>739</v>
      </c>
      <c r="D196" s="23" t="s">
        <v>428</v>
      </c>
      <c r="E196" s="23" t="s">
        <v>450</v>
      </c>
      <c r="F196" s="23" t="s">
        <v>20</v>
      </c>
      <c r="G196" s="23">
        <v>2</v>
      </c>
      <c r="H196" s="33">
        <v>265000</v>
      </c>
      <c r="I196" s="23" t="str">
        <f>IF(AND(ISNUMBER(MATCH(C196, Discount_Product_Apply!$B$2:$B$30, 0)), G196&gt;=3), "DIS_004", "")</f>
        <v/>
      </c>
      <c r="J196" s="33">
        <f t="shared" si="7"/>
        <v>530000</v>
      </c>
    </row>
    <row r="197" spans="1:10" x14ac:dyDescent="0.35">
      <c r="A197">
        <v>196</v>
      </c>
      <c r="B197" s="23" t="s">
        <v>925</v>
      </c>
      <c r="C197" s="23" t="s">
        <v>519</v>
      </c>
      <c r="D197" s="23" t="s">
        <v>422</v>
      </c>
      <c r="E197" s="23" t="s">
        <v>8</v>
      </c>
      <c r="F197" s="23" t="s">
        <v>12</v>
      </c>
      <c r="G197" s="23">
        <v>1</v>
      </c>
      <c r="H197" s="33">
        <v>235000</v>
      </c>
      <c r="I197" s="23" t="str">
        <f>IF(AND(ISNUMBER(MATCH(C197, Discount_Product_Apply!$B$2:$B$30, 0)), G197&gt;=3), "DIS_004", "")</f>
        <v/>
      </c>
      <c r="J197" s="33">
        <f t="shared" si="7"/>
        <v>235000</v>
      </c>
    </row>
    <row r="198" spans="1:10" x14ac:dyDescent="0.35">
      <c r="A198">
        <v>197</v>
      </c>
      <c r="B198" s="23" t="s">
        <v>926</v>
      </c>
      <c r="C198" s="23" t="s">
        <v>755</v>
      </c>
      <c r="D198" s="23" t="s">
        <v>458</v>
      </c>
      <c r="E198" s="23" t="s">
        <v>9</v>
      </c>
      <c r="F198" s="23" t="s">
        <v>15</v>
      </c>
      <c r="G198" s="23">
        <v>2</v>
      </c>
      <c r="H198" s="33">
        <v>270000</v>
      </c>
      <c r="I198" s="23" t="str">
        <f>IF(AND(ISNUMBER(MATCH(C198, Discount_Product_Apply!$B$2:$B$30, 0)), G198&gt;=3), "DIS_004", "")</f>
        <v/>
      </c>
      <c r="J198" s="33">
        <f t="shared" si="7"/>
        <v>540000</v>
      </c>
    </row>
    <row r="199" spans="1:10" x14ac:dyDescent="0.35">
      <c r="A199">
        <v>198</v>
      </c>
      <c r="B199" s="23" t="s">
        <v>927</v>
      </c>
      <c r="C199" s="23" t="s">
        <v>541</v>
      </c>
      <c r="D199" s="37" t="s">
        <v>14</v>
      </c>
      <c r="E199" s="37" t="s">
        <v>441</v>
      </c>
      <c r="F199" s="23" t="s">
        <v>20</v>
      </c>
      <c r="G199" s="23">
        <v>2</v>
      </c>
      <c r="H199" s="33">
        <v>235000</v>
      </c>
      <c r="I199" s="23" t="str">
        <f>IF(AND(ISNUMBER(MATCH(C199, Discount_Product_Apply!$B$2:$B$30, 0)), G199&gt;=3), "DIS_004", "")</f>
        <v/>
      </c>
      <c r="J199" s="33">
        <f t="shared" si="7"/>
        <v>470000</v>
      </c>
    </row>
    <row r="200" spans="1:10" x14ac:dyDescent="0.35">
      <c r="A200">
        <v>199</v>
      </c>
      <c r="B200" s="23" t="s">
        <v>928</v>
      </c>
      <c r="C200" s="23" t="s">
        <v>735</v>
      </c>
      <c r="D200" s="23" t="s">
        <v>428</v>
      </c>
      <c r="E200" s="23" t="s">
        <v>30</v>
      </c>
      <c r="F200" s="23" t="s">
        <v>11</v>
      </c>
      <c r="G200" s="23">
        <v>2</v>
      </c>
      <c r="H200" s="33">
        <v>265000</v>
      </c>
      <c r="I200" s="23" t="str">
        <f>IF(AND(ISNUMBER(MATCH(C200, Discount_Product_Apply!$B$2:$B$30, 0)), G200&gt;=3), "DIS_004", "")</f>
        <v/>
      </c>
      <c r="J200" s="33">
        <f t="shared" si="7"/>
        <v>530000</v>
      </c>
    </row>
    <row r="201" spans="1:10" x14ac:dyDescent="0.35">
      <c r="A201">
        <v>200</v>
      </c>
      <c r="B201" s="23" t="s">
        <v>929</v>
      </c>
      <c r="C201" s="35" t="s">
        <v>682</v>
      </c>
      <c r="D201" s="37" t="s">
        <v>432</v>
      </c>
      <c r="E201" s="23" t="s">
        <v>9</v>
      </c>
      <c r="F201" s="23" t="s">
        <v>12</v>
      </c>
      <c r="G201" s="23">
        <v>200</v>
      </c>
      <c r="H201" s="1">
        <v>150000</v>
      </c>
      <c r="J201" s="33">
        <f t="shared" si="7"/>
        <v>30000000</v>
      </c>
    </row>
    <row r="202" spans="1:10" x14ac:dyDescent="0.35">
      <c r="A202">
        <v>201</v>
      </c>
      <c r="B202" s="23" t="s">
        <v>929</v>
      </c>
      <c r="C202" s="35" t="s">
        <v>759</v>
      </c>
      <c r="D202" s="38" t="s">
        <v>459</v>
      </c>
      <c r="E202" s="23" t="s">
        <v>460</v>
      </c>
      <c r="F202" s="23" t="s">
        <v>20</v>
      </c>
      <c r="G202" s="23">
        <v>200</v>
      </c>
      <c r="H202" s="1">
        <v>335000</v>
      </c>
      <c r="J202" s="33">
        <f t="shared" si="7"/>
        <v>67000000</v>
      </c>
    </row>
    <row r="203" spans="1:10" x14ac:dyDescent="0.35">
      <c r="A203">
        <v>202</v>
      </c>
      <c r="B203" s="23" t="s">
        <v>930</v>
      </c>
      <c r="C203" s="35" t="s">
        <v>603</v>
      </c>
      <c r="D203" s="37" t="s">
        <v>423</v>
      </c>
      <c r="E203" s="23" t="s">
        <v>9</v>
      </c>
      <c r="F203" s="23" t="s">
        <v>12</v>
      </c>
      <c r="G203" s="23">
        <v>150</v>
      </c>
      <c r="H203" s="1">
        <v>380000</v>
      </c>
      <c r="J203" s="33">
        <f t="shared" si="7"/>
        <v>57000000</v>
      </c>
    </row>
    <row r="204" spans="1:10" x14ac:dyDescent="0.35">
      <c r="A204">
        <v>203</v>
      </c>
      <c r="B204" s="23" t="s">
        <v>930</v>
      </c>
      <c r="C204" t="s">
        <v>615</v>
      </c>
      <c r="D204" s="37" t="s">
        <v>424</v>
      </c>
      <c r="E204" s="23" t="s">
        <v>8</v>
      </c>
      <c r="F204" s="23" t="s">
        <v>20</v>
      </c>
      <c r="G204" s="23">
        <v>200</v>
      </c>
      <c r="H204" s="1">
        <v>380000</v>
      </c>
      <c r="J204" s="33">
        <f t="shared" si="7"/>
        <v>76000000</v>
      </c>
    </row>
    <row r="205" spans="1:10" x14ac:dyDescent="0.35">
      <c r="A205">
        <v>204</v>
      </c>
      <c r="B205" s="23" t="s">
        <v>931</v>
      </c>
      <c r="C205" s="35" t="s">
        <v>587</v>
      </c>
      <c r="D205" s="37" t="s">
        <v>417</v>
      </c>
      <c r="E205" s="37" t="s">
        <v>446</v>
      </c>
      <c r="F205" s="37" t="s">
        <v>15</v>
      </c>
      <c r="G205" s="43">
        <v>200</v>
      </c>
      <c r="H205" s="36">
        <v>230000</v>
      </c>
      <c r="I205" s="1"/>
      <c r="J205" s="33">
        <f t="shared" ref="J205:J206" si="8">IF(I205="DIS_004", INT(G205/3)*500000 + MOD(G205,3)*H205, H205*G205)</f>
        <v>46000000</v>
      </c>
    </row>
    <row r="206" spans="1:10" x14ac:dyDescent="0.35">
      <c r="A206">
        <v>205</v>
      </c>
      <c r="B206" s="23" t="s">
        <v>931</v>
      </c>
      <c r="C206" s="35" t="s">
        <v>588</v>
      </c>
      <c r="D206" s="37" t="s">
        <v>412</v>
      </c>
      <c r="E206" s="37" t="s">
        <v>9</v>
      </c>
      <c r="F206" s="37" t="s">
        <v>20</v>
      </c>
      <c r="G206" s="43">
        <v>170</v>
      </c>
      <c r="H206" s="36">
        <v>230000</v>
      </c>
      <c r="I206" s="1"/>
      <c r="J206" s="33">
        <f t="shared" si="8"/>
        <v>39100000</v>
      </c>
    </row>
    <row r="207" spans="1:10" x14ac:dyDescent="0.35">
      <c r="G207" s="1"/>
      <c r="H207"/>
      <c r="I207" s="1"/>
      <c r="J207"/>
    </row>
    <row r="208" spans="1:10" x14ac:dyDescent="0.35">
      <c r="J208"/>
    </row>
    <row r="209" spans="10:10" x14ac:dyDescent="0.35">
      <c r="J209"/>
    </row>
    <row r="210" spans="10:10" x14ac:dyDescent="0.35">
      <c r="J210"/>
    </row>
    <row r="211" spans="10:10" x14ac:dyDescent="0.35">
      <c r="J211"/>
    </row>
    <row r="212" spans="10:10" x14ac:dyDescent="0.35">
      <c r="J212"/>
    </row>
    <row r="213" spans="10:10" x14ac:dyDescent="0.35">
      <c r="J213"/>
    </row>
    <row r="214" spans="10:10" x14ac:dyDescent="0.35">
      <c r="J214"/>
    </row>
    <row r="215" spans="10:10" x14ac:dyDescent="0.35">
      <c r="J215"/>
    </row>
    <row r="216" spans="10:10" x14ac:dyDescent="0.35">
      <c r="J216"/>
    </row>
    <row r="217" spans="10:10" x14ac:dyDescent="0.35">
      <c r="J217"/>
    </row>
    <row r="218" spans="10:10" x14ac:dyDescent="0.35">
      <c r="J218"/>
    </row>
    <row r="219" spans="10:10" x14ac:dyDescent="0.35">
      <c r="J219"/>
    </row>
    <row r="220" spans="10:10" x14ac:dyDescent="0.35">
      <c r="J220"/>
    </row>
    <row r="221" spans="10:10" x14ac:dyDescent="0.35">
      <c r="J221"/>
    </row>
    <row r="222" spans="10:10" x14ac:dyDescent="0.35">
      <c r="J222"/>
    </row>
    <row r="223" spans="10:10" x14ac:dyDescent="0.35">
      <c r="J223"/>
    </row>
    <row r="224" spans="10:10" x14ac:dyDescent="0.35">
      <c r="J224"/>
    </row>
    <row r="225" spans="10:10" x14ac:dyDescent="0.35">
      <c r="J225"/>
    </row>
    <row r="226" spans="10:10" x14ac:dyDescent="0.35">
      <c r="J226"/>
    </row>
  </sheetData>
  <sortState xmlns:xlrd2="http://schemas.microsoft.com/office/spreadsheetml/2017/richdata2" ref="B2:J55">
    <sortCondition ref="B2:B55"/>
  </sortState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2158-1763-4CB1-AF06-33B0493C342F}">
  <dimension ref="A1:J5"/>
  <sheetViews>
    <sheetView workbookViewId="0">
      <selection activeCell="A4" sqref="A4"/>
    </sheetView>
  </sheetViews>
  <sheetFormatPr defaultRowHeight="14.5" x14ac:dyDescent="0.35"/>
  <cols>
    <col min="1" max="1" width="10.90625" bestFit="1" customWidth="1"/>
    <col min="2" max="2" width="15.90625" customWidth="1"/>
    <col min="3" max="3" width="13.90625" customWidth="1"/>
    <col min="4" max="4" width="10.81640625" customWidth="1"/>
    <col min="5" max="5" width="10.6328125" customWidth="1"/>
    <col min="6" max="6" width="13.26953125" customWidth="1"/>
    <col min="7" max="7" width="13.26953125" style="1" customWidth="1"/>
    <col min="8" max="8" width="14.08984375" bestFit="1" customWidth="1"/>
    <col min="9" max="9" width="15.453125" style="28" customWidth="1"/>
  </cols>
  <sheetData>
    <row r="1" spans="1:10" x14ac:dyDescent="0.35">
      <c r="A1" s="2" t="s">
        <v>778</v>
      </c>
      <c r="B1" s="2" t="s">
        <v>779</v>
      </c>
      <c r="C1" s="2" t="s">
        <v>780</v>
      </c>
      <c r="D1" s="2" t="s">
        <v>781</v>
      </c>
      <c r="E1" s="2" t="s">
        <v>782</v>
      </c>
      <c r="F1" s="2" t="s">
        <v>783</v>
      </c>
      <c r="G1" s="3" t="s">
        <v>784</v>
      </c>
      <c r="H1" s="2" t="s">
        <v>786</v>
      </c>
      <c r="I1" s="26" t="s">
        <v>785</v>
      </c>
      <c r="J1" s="2" t="s">
        <v>787</v>
      </c>
    </row>
    <row r="2" spans="1:10" ht="29" x14ac:dyDescent="0.35">
      <c r="A2" s="16" t="s">
        <v>788</v>
      </c>
      <c r="B2" s="16" t="s">
        <v>789</v>
      </c>
      <c r="C2" s="16" t="s">
        <v>790</v>
      </c>
      <c r="D2" s="24">
        <v>45870</v>
      </c>
      <c r="E2" s="24">
        <v>45900</v>
      </c>
      <c r="F2" s="16" t="s">
        <v>791</v>
      </c>
      <c r="G2" s="25">
        <v>500000</v>
      </c>
      <c r="H2" s="16" t="s">
        <v>791</v>
      </c>
      <c r="I2" s="27">
        <v>10</v>
      </c>
      <c r="J2" s="16">
        <v>0</v>
      </c>
    </row>
    <row r="3" spans="1:10" ht="43.5" x14ac:dyDescent="0.35">
      <c r="A3" s="16" t="s">
        <v>792</v>
      </c>
      <c r="B3" s="16" t="s">
        <v>793</v>
      </c>
      <c r="C3" s="16" t="s">
        <v>794</v>
      </c>
      <c r="D3" s="24">
        <v>45901</v>
      </c>
      <c r="E3" s="24">
        <v>45930</v>
      </c>
      <c r="F3" s="16" t="s">
        <v>791</v>
      </c>
      <c r="G3" s="25">
        <v>700000</v>
      </c>
      <c r="H3" s="16" t="s">
        <v>791</v>
      </c>
      <c r="I3" s="27">
        <v>50000</v>
      </c>
      <c r="J3" s="16">
        <v>0</v>
      </c>
    </row>
    <row r="4" spans="1:10" ht="43.5" x14ac:dyDescent="0.35">
      <c r="A4" s="16" t="s">
        <v>795</v>
      </c>
      <c r="B4" s="16" t="s">
        <v>789</v>
      </c>
      <c r="C4" s="16" t="s">
        <v>798</v>
      </c>
      <c r="D4" s="24" t="s">
        <v>1002</v>
      </c>
      <c r="E4" s="24" t="s">
        <v>1002</v>
      </c>
      <c r="F4" s="16" t="s">
        <v>791</v>
      </c>
      <c r="G4" s="25">
        <v>1000000</v>
      </c>
      <c r="H4" s="16" t="s">
        <v>791</v>
      </c>
      <c r="I4" s="27">
        <v>20</v>
      </c>
      <c r="J4" s="16">
        <v>0</v>
      </c>
    </row>
    <row r="5" spans="1:10" ht="29" x14ac:dyDescent="0.35">
      <c r="A5" s="16" t="s">
        <v>797</v>
      </c>
      <c r="B5" s="29" t="s">
        <v>796</v>
      </c>
      <c r="C5" s="29" t="s">
        <v>799</v>
      </c>
      <c r="D5" s="24">
        <v>45839</v>
      </c>
      <c r="E5" s="31">
        <v>45849</v>
      </c>
      <c r="F5" s="32">
        <v>3</v>
      </c>
      <c r="G5" s="25" t="s">
        <v>791</v>
      </c>
      <c r="H5" s="32">
        <v>3</v>
      </c>
      <c r="I5" s="30">
        <v>500000</v>
      </c>
      <c r="J5" s="32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98CF-39C8-4979-9A8C-E20721A76FE3}">
  <dimension ref="A1:B30"/>
  <sheetViews>
    <sheetView workbookViewId="0">
      <selection activeCell="J22" sqref="J22"/>
    </sheetView>
  </sheetViews>
  <sheetFormatPr defaultRowHeight="14.5" x14ac:dyDescent="0.35"/>
  <cols>
    <col min="1" max="1" width="10.90625" bestFit="1" customWidth="1"/>
    <col min="2" max="2" width="10.08984375" bestFit="1" customWidth="1"/>
  </cols>
  <sheetData>
    <row r="1" spans="1:2" x14ac:dyDescent="0.35">
      <c r="A1" s="2" t="s">
        <v>778</v>
      </c>
      <c r="B1" s="2" t="s">
        <v>228</v>
      </c>
    </row>
    <row r="2" spans="1:2" x14ac:dyDescent="0.35">
      <c r="A2" s="16" t="s">
        <v>797</v>
      </c>
      <c r="B2" s="14" t="s">
        <v>486</v>
      </c>
    </row>
    <row r="3" spans="1:2" x14ac:dyDescent="0.35">
      <c r="A3" s="16" t="s">
        <v>797</v>
      </c>
      <c r="B3" s="14" t="s">
        <v>487</v>
      </c>
    </row>
    <row r="4" spans="1:2" x14ac:dyDescent="0.35">
      <c r="A4" s="16" t="s">
        <v>797</v>
      </c>
      <c r="B4" s="14" t="s">
        <v>488</v>
      </c>
    </row>
    <row r="5" spans="1:2" x14ac:dyDescent="0.35">
      <c r="A5" s="16" t="s">
        <v>797</v>
      </c>
      <c r="B5" s="14" t="s">
        <v>489</v>
      </c>
    </row>
    <row r="6" spans="1:2" x14ac:dyDescent="0.35">
      <c r="A6" s="16" t="s">
        <v>797</v>
      </c>
      <c r="B6" s="14" t="s">
        <v>490</v>
      </c>
    </row>
    <row r="7" spans="1:2" x14ac:dyDescent="0.35">
      <c r="A7" s="16" t="s">
        <v>797</v>
      </c>
      <c r="B7" s="14" t="s">
        <v>491</v>
      </c>
    </row>
    <row r="8" spans="1:2" x14ac:dyDescent="0.35">
      <c r="A8" s="16" t="s">
        <v>797</v>
      </c>
      <c r="B8" s="14" t="s">
        <v>492</v>
      </c>
    </row>
    <row r="9" spans="1:2" x14ac:dyDescent="0.35">
      <c r="A9" s="16" t="s">
        <v>797</v>
      </c>
      <c r="B9" s="14" t="s">
        <v>493</v>
      </c>
    </row>
    <row r="10" spans="1:2" x14ac:dyDescent="0.35">
      <c r="A10" s="16" t="s">
        <v>797</v>
      </c>
      <c r="B10" s="14" t="s">
        <v>494</v>
      </c>
    </row>
    <row r="11" spans="1:2" x14ac:dyDescent="0.35">
      <c r="A11" s="16" t="s">
        <v>797</v>
      </c>
      <c r="B11" s="14" t="s">
        <v>511</v>
      </c>
    </row>
    <row r="12" spans="1:2" x14ac:dyDescent="0.35">
      <c r="A12" s="16" t="s">
        <v>797</v>
      </c>
      <c r="B12" s="14" t="s">
        <v>512</v>
      </c>
    </row>
    <row r="13" spans="1:2" x14ac:dyDescent="0.35">
      <c r="A13" s="16" t="s">
        <v>797</v>
      </c>
      <c r="B13" s="14" t="s">
        <v>513</v>
      </c>
    </row>
    <row r="14" spans="1:2" x14ac:dyDescent="0.35">
      <c r="A14" s="16" t="s">
        <v>797</v>
      </c>
      <c r="B14" s="14" t="s">
        <v>514</v>
      </c>
    </row>
    <row r="15" spans="1:2" x14ac:dyDescent="0.35">
      <c r="A15" s="16" t="s">
        <v>797</v>
      </c>
      <c r="B15" s="14" t="s">
        <v>515</v>
      </c>
    </row>
    <row r="16" spans="1:2" x14ac:dyDescent="0.35">
      <c r="A16" s="16" t="s">
        <v>797</v>
      </c>
      <c r="B16" s="14" t="s">
        <v>516</v>
      </c>
    </row>
    <row r="17" spans="1:2" x14ac:dyDescent="0.35">
      <c r="A17" s="16" t="s">
        <v>797</v>
      </c>
      <c r="B17" s="14" t="s">
        <v>517</v>
      </c>
    </row>
    <row r="18" spans="1:2" x14ac:dyDescent="0.35">
      <c r="A18" s="16" t="s">
        <v>797</v>
      </c>
      <c r="B18" s="14" t="s">
        <v>518</v>
      </c>
    </row>
    <row r="19" spans="1:2" x14ac:dyDescent="0.35">
      <c r="A19" s="16" t="s">
        <v>797</v>
      </c>
      <c r="B19" s="14" t="s">
        <v>519</v>
      </c>
    </row>
    <row r="20" spans="1:2" x14ac:dyDescent="0.35">
      <c r="A20" s="16" t="s">
        <v>797</v>
      </c>
      <c r="B20" s="14" t="s">
        <v>520</v>
      </c>
    </row>
    <row r="21" spans="1:2" x14ac:dyDescent="0.35">
      <c r="A21" s="16" t="s">
        <v>797</v>
      </c>
      <c r="B21" s="14" t="s">
        <v>536</v>
      </c>
    </row>
    <row r="22" spans="1:2" x14ac:dyDescent="0.35">
      <c r="A22" s="16" t="s">
        <v>797</v>
      </c>
      <c r="B22" s="14" t="s">
        <v>537</v>
      </c>
    </row>
    <row r="23" spans="1:2" x14ac:dyDescent="0.35">
      <c r="A23" s="16" t="s">
        <v>797</v>
      </c>
      <c r="B23" s="14" t="s">
        <v>538</v>
      </c>
    </row>
    <row r="24" spans="1:2" x14ac:dyDescent="0.35">
      <c r="A24" s="16" t="s">
        <v>797</v>
      </c>
      <c r="B24" s="14" t="s">
        <v>539</v>
      </c>
    </row>
    <row r="25" spans="1:2" x14ac:dyDescent="0.35">
      <c r="A25" s="16" t="s">
        <v>797</v>
      </c>
      <c r="B25" s="14" t="s">
        <v>540</v>
      </c>
    </row>
    <row r="26" spans="1:2" x14ac:dyDescent="0.35">
      <c r="A26" s="16" t="s">
        <v>797</v>
      </c>
      <c r="B26" s="14" t="s">
        <v>541</v>
      </c>
    </row>
    <row r="27" spans="1:2" x14ac:dyDescent="0.35">
      <c r="A27" s="16" t="s">
        <v>797</v>
      </c>
      <c r="B27" s="14" t="s">
        <v>542</v>
      </c>
    </row>
    <row r="28" spans="1:2" x14ac:dyDescent="0.35">
      <c r="A28" s="16" t="s">
        <v>797</v>
      </c>
      <c r="B28" s="14" t="s">
        <v>543</v>
      </c>
    </row>
    <row r="29" spans="1:2" x14ac:dyDescent="0.35">
      <c r="A29" s="16" t="s">
        <v>797</v>
      </c>
      <c r="B29" s="14" t="s">
        <v>544</v>
      </c>
    </row>
    <row r="30" spans="1:2" x14ac:dyDescent="0.35">
      <c r="A30" s="16" t="s">
        <v>797</v>
      </c>
      <c r="B30" s="14" t="s">
        <v>545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72B7-C49A-4084-A77F-DE54C66DE15E}">
  <dimension ref="A1:H17"/>
  <sheetViews>
    <sheetView workbookViewId="0">
      <selection activeCell="G12" sqref="G12"/>
    </sheetView>
  </sheetViews>
  <sheetFormatPr defaultRowHeight="14.5" x14ac:dyDescent="0.35"/>
  <cols>
    <col min="1" max="1" width="9.36328125" bestFit="1" customWidth="1"/>
    <col min="2" max="2" width="9.81640625" bestFit="1" customWidth="1"/>
    <col min="4" max="4" width="13.54296875" customWidth="1"/>
    <col min="5" max="5" width="17.26953125" style="1" customWidth="1"/>
    <col min="6" max="6" width="9.81640625" customWidth="1"/>
    <col min="7" max="8" width="15.36328125" style="1" bestFit="1" customWidth="1"/>
    <col min="10" max="10" width="15.36328125" bestFit="1" customWidth="1"/>
  </cols>
  <sheetData>
    <row r="1" spans="1:8" x14ac:dyDescent="0.35">
      <c r="A1" s="76" t="s">
        <v>932</v>
      </c>
      <c r="B1" s="76" t="s">
        <v>234</v>
      </c>
      <c r="C1" s="76" t="s">
        <v>241</v>
      </c>
      <c r="D1" s="76" t="s">
        <v>933</v>
      </c>
      <c r="E1" s="77" t="s">
        <v>773</v>
      </c>
    </row>
    <row r="2" spans="1:8" x14ac:dyDescent="0.35">
      <c r="A2" t="s">
        <v>934</v>
      </c>
      <c r="B2" t="s">
        <v>355</v>
      </c>
      <c r="C2" s="50" t="s">
        <v>376</v>
      </c>
      <c r="D2" s="42">
        <v>45828</v>
      </c>
      <c r="E2" s="1">
        <f>IF(B2="P0061", SUMPRODUCT(Product!$G$2:$G$15, Product!$H$2:$H$15),
 IF(B2="P0062", SUMPRODUCT(Product!$G$16:$G$50, Product!$H$16:$H$50),
 IF(B2="P0063", SUMPRODUCT(Product!$G$51:$G$65, Product!$H$51:$H$65),
 IF(B2="P0064", SUMPRODUCT(Product!$G$66:$G$85, Product!$H$66:$H$85),
 IF(B2="P0065", SUMPRODUCT(Product!$G$86:$G$115, Product!$H$86:$H$115),
 IF(B2="P0066", SUMPRODUCT(Product!$G$116:$G$139, Product!$H$116:$H$139),
 IF(B2="P0067", SUMPRODUCT(Product!$G$140:$G$169, Product!$H$140:$H$169),
 IF(B2="P0068", SUMPRODUCT(Product!$G$170:$G$189, Product!$H$170:$H$189),
 IF(B2="P0069", SUMPRODUCT(Product!$G$190:$G$209, Product!$H$190:$H$209),
 IF(B2="P0070", SUMPRODUCT(Product!$G$210:$G$233, Product!$H$210:$H$233),
 IF(B2="P0071", SUMPRODUCT(Product!$G$234:$G$273, Product!$H$234:$H$273),
 IF(B2="P0072", SUMPRODUCT(Product!$G$274:$G$304, Product!$H$274:$H$304),
 0))))))))))))</f>
        <v>640980000</v>
      </c>
    </row>
    <row r="3" spans="1:8" x14ac:dyDescent="0.35">
      <c r="A3" s="23" t="s">
        <v>988</v>
      </c>
      <c r="B3" s="23" t="s">
        <v>356</v>
      </c>
      <c r="C3" s="50" t="s">
        <v>376</v>
      </c>
      <c r="D3" s="42">
        <v>45828</v>
      </c>
      <c r="E3" s="1">
        <f>IF(B3="P0061", SUMPRODUCT(Product!$G$2:$G$15, Product!$H$2:$H$15),
 IF(B3="P0062", SUMPRODUCT(Product!$G$16:$G$50, Product!$H$16:$H$50),
 IF(B3="P0063", SUMPRODUCT(Product!$G$51:$G$65, Product!$H$51:$H$65),
 IF(B3="P0064", SUMPRODUCT(Product!$G$66:$G$85, Product!$H$66:$H$85),
 IF(B3="P0065", SUMPRODUCT(Product!$G$86:$G$115, Product!$H$86:$H$115),
 IF(B3="P0066", SUMPRODUCT(Product!$G$116:$G$139, Product!$H$116:$H$139),
 IF(B3="P0067", SUMPRODUCT(Product!$G$140:$G$169, Product!$H$140:$H$169),
 IF(B3="P0068", SUMPRODUCT(Product!$G$170:$G$189, Product!$H$170:$H$189),
 IF(B3="P0069", SUMPRODUCT(Product!$G$190:$G$209, Product!$H$190:$H$209),
 IF(B3="P0070", SUMPRODUCT(Product!$G$210:$G$233, Product!$H$210:$H$233),
 IF(B3="P0071", SUMPRODUCT(Product!$G$234:$G$273, Product!$H$234:$H$273),
 IF(B3="P0072", SUMPRODUCT(Product!$G$274:$G$304, Product!$H$274:$H$304),
 0))))))))))))</f>
        <v>1788930000</v>
      </c>
    </row>
    <row r="4" spans="1:8" x14ac:dyDescent="0.35">
      <c r="A4" s="23" t="s">
        <v>989</v>
      </c>
      <c r="B4" s="23" t="s">
        <v>357</v>
      </c>
      <c r="C4" s="50" t="s">
        <v>376</v>
      </c>
      <c r="D4" s="42">
        <v>45828</v>
      </c>
      <c r="E4" s="1">
        <f>IF(B4="P0061", SUMPRODUCT(Product!$G$2:$G$15, Product!$H$2:$H$15),
 IF(B4="P0062", SUMPRODUCT(Product!$G$16:$G$50, Product!$H$16:$H$50),
 IF(B4="P0063", SUMPRODUCT(Product!$G$51:$G$65, Product!$H$51:$H$65),
 IF(B4="P0064", SUMPRODUCT(Product!$G$66:$G$85, Product!$H$66:$H$85),
 IF(B4="P0065", SUMPRODUCT(Product!$G$86:$G$115, Product!$H$86:$H$115),
 IF(B4="P0066", SUMPRODUCT(Product!$G$116:$G$139, Product!$H$116:$H$139),
 IF(B4="P0067", SUMPRODUCT(Product!$G$140:$G$169, Product!$H$140:$H$169),
 IF(B4="P0068", SUMPRODUCT(Product!$G$170:$G$189, Product!$H$170:$H$189),
 IF(B4="P0069", SUMPRODUCT(Product!$G$190:$G$209, Product!$H$190:$H$209),
 IF(B4="P0070", SUMPRODUCT(Product!$G$210:$G$233, Product!$H$210:$H$233),
 IF(B4="P0071", SUMPRODUCT(Product!$G$234:$G$273, Product!$H$234:$H$273),
 IF(B4="P0072", SUMPRODUCT(Product!$G$274:$G$304, Product!$H$274:$H$304),
 0))))))))))))</f>
        <v>769920000</v>
      </c>
    </row>
    <row r="5" spans="1:8" x14ac:dyDescent="0.35">
      <c r="A5" s="23" t="s">
        <v>990</v>
      </c>
      <c r="B5" s="23" t="s">
        <v>358</v>
      </c>
      <c r="C5" s="50" t="s">
        <v>377</v>
      </c>
      <c r="D5" s="42">
        <v>45829</v>
      </c>
      <c r="E5" s="1">
        <f>IF(B5="P0061", SUMPRODUCT(Product!$G$2:$G$15, Product!$H$2:$H$15),
 IF(B5="P0062", SUMPRODUCT(Product!$G$16:$G$50, Product!$H$16:$H$50),
 IF(B5="P0063", SUMPRODUCT(Product!$G$51:$G$65, Product!$H$51:$H$65),
 IF(B5="P0064", SUMPRODUCT(Product!$G$66:$G$85, Product!$H$66:$H$85),
 IF(B5="P0065", SUMPRODUCT(Product!$G$86:$G$115, Product!$H$86:$H$115),
 IF(B5="P0066", SUMPRODUCT(Product!$G$116:$G$139, Product!$H$116:$H$139),
 IF(B5="P0067", SUMPRODUCT(Product!$G$140:$G$169, Product!$H$140:$H$169),
 IF(B5="P0068", SUMPRODUCT(Product!$G$170:$G$189, Product!$H$170:$H$189),
 IF(B5="P0069", SUMPRODUCT(Product!$G$190:$G$209, Product!$H$190:$H$209),
 IF(B5="P0070", SUMPRODUCT(Product!$G$210:$G$233, Product!$H$210:$H$233),
 IF(B5="P0071", SUMPRODUCT(Product!$G$234:$G$273, Product!$H$234:$H$273),
 IF(B5="P0072", SUMPRODUCT(Product!$G$274:$G$304, Product!$H$274:$H$304),
 0))))))))))))</f>
        <v>1177930000</v>
      </c>
    </row>
    <row r="6" spans="1:8" x14ac:dyDescent="0.35">
      <c r="A6" s="23" t="s">
        <v>991</v>
      </c>
      <c r="B6" s="23" t="s">
        <v>359</v>
      </c>
      <c r="C6" s="50" t="s">
        <v>377</v>
      </c>
      <c r="D6" s="42">
        <v>45829</v>
      </c>
      <c r="E6" s="1">
        <f>IF(B6="P0061", SUMPRODUCT(Product!$G$2:$G$15, Product!$H$2:$H$15),
 IF(B6="P0062", SUMPRODUCT(Product!$G$16:$G$50, Product!$H$16:$H$50),
 IF(B6="P0063", SUMPRODUCT(Product!$G$51:$G$65, Product!$H$51:$H$65),
 IF(B6="P0064", SUMPRODUCT(Product!$G$66:$G$85, Product!$H$66:$H$85),
 IF(B6="P0065", SUMPRODUCT(Product!$G$86:$G$115, Product!$H$86:$H$115),
 IF(B6="P0066", SUMPRODUCT(Product!$G$116:$G$139, Product!$H$116:$H$139),
 IF(B6="P0067", SUMPRODUCT(Product!$G$140:$G$169, Product!$H$140:$H$169),
 IF(B6="P0068", SUMPRODUCT(Product!$G$170:$G$189, Product!$H$170:$H$189),
 IF(B6="P0069", SUMPRODUCT(Product!$G$190:$G$209, Product!$H$190:$H$209),
 IF(B6="P0070", SUMPRODUCT(Product!$G$210:$G$233, Product!$H$210:$H$233),
 IF(B6="P0071", SUMPRODUCT(Product!$G$234:$G$273, Product!$H$234:$H$273),
 IF(B6="P0072", SUMPRODUCT(Product!$G$274:$G$304, Product!$H$274:$H$304),
 0))))))))))))</f>
        <v>1724626000</v>
      </c>
    </row>
    <row r="7" spans="1:8" x14ac:dyDescent="0.35">
      <c r="A7" s="57" t="s">
        <v>992</v>
      </c>
      <c r="B7" s="57" t="s">
        <v>360</v>
      </c>
      <c r="C7" s="58" t="s">
        <v>377</v>
      </c>
      <c r="D7" s="59">
        <v>45829</v>
      </c>
      <c r="E7" s="60">
        <f>IF(B7="P0061",SUMPRODUCT(Product!$G$2:$G$15,Product!$H$2:$H$15),
IF(B7="P0062",SUMPRODUCT(Product!$G$16:$G$50,Product!$H$16:$H$50),
IF(B7="P0063",SUMPRODUCT(Product!$G$51:$G$65,Product!$H$51:$H$65),
IF(B7="P0064",SUMPRODUCT(Product!$G$66:$G$85,Product!$H$66:$H$85),
IF(B7="P0065",SUMPRODUCT(Product!$G$86:$G$115,Product!$H$86:$H$115),
IF(B7="P0066",SUMPRODUCT(Product!$G$116:$G$139,Product!$H$116:$H$139),
IF(B7="P0067",SUMPRODUCT(Product!$G$140:$G$169,Product!$H$140:$H$169),
IF(B7="P0068",SUMPRODUCT(Product!$G$170:$G$189,Product!$H$170:$H$189),
IF(B7="P0069",SUMPRODUCT(Product!$G$190:$G$209,Product!$H$190:$H$209),
IF(B7="P0070",SUMPRODUCT(Product!$G$210:$G$233,Product!$H$210:$H$233),
IF(B7="P0071",SUMPRODUCT(Product!$G$234:$G$273,Product!$H$234:$H$273),
IF(B7="P0072",SUMPRODUCT(Product!$G$274:$G$304,Product!$H$274:$H$304),
0))))))))))))-(155000*7058)</f>
        <v>775000000</v>
      </c>
      <c r="F7" s="1"/>
      <c r="H7"/>
    </row>
    <row r="8" spans="1:8" x14ac:dyDescent="0.35">
      <c r="A8" s="53" t="s">
        <v>993</v>
      </c>
      <c r="B8" s="53" t="s">
        <v>361</v>
      </c>
      <c r="C8" s="54" t="s">
        <v>377</v>
      </c>
      <c r="D8" s="55">
        <v>45829</v>
      </c>
      <c r="E8" s="56">
        <f>IF(B8="P0061", SUMPRODUCT(Product!$G$2:$G$15, Product!$H$2:$H$15),
 IF(B8="P0062", SUMPRODUCT(Product!$G$16:$G$50, Product!$H$16:$H$50),
 IF(B8="P0063", SUMPRODUCT(Product!$G$51:$G$65, Product!$H$51:$H$65),
 IF(B8="P0064", SUMPRODUCT(Product!$G$66:$G$85, Product!$H$66:$H$85),
 IF(B8="P0065", SUMPRODUCT(Product!$G$86:$G$115, Product!$H$86:$H$115),
 IF(B8="P0066", SUMPRODUCT(Product!$G$116:$G$139, Product!$H$116:$H$139),
 IF(B8="P0067", SUMPRODUCT(Product!$G$140:$G$169, Product!$H$140:$H$169),
 IF(B8="P0068", SUMPRODUCT(Product!$G$170:$G$189, Product!$H$170:$H$189),
 IF(B8="P0069", SUMPRODUCT(Product!$G$190:$G$209, Product!$H$190:$H$209),
 IF(B8="P0070", SUMPRODUCT(Product!$G$210:$G$233, Product!$H$210:$H$233),
 IF(B8="P0071", SUMPRODUCT(Product!$G$234:$G$273, Product!$H$234:$H$273),
 IF(B8="P0072", SUMPRODUCT(Product!$G$274:$G$304, Product!$H$274:$H$304),
 0))))))))))))-(250000*3288+250000*2372+110000*2070)</f>
        <v>1330000000</v>
      </c>
      <c r="F8" s="1"/>
      <c r="H8"/>
    </row>
    <row r="9" spans="1:8" x14ac:dyDescent="0.35">
      <c r="A9" s="23" t="s">
        <v>994</v>
      </c>
      <c r="B9" s="23" t="s">
        <v>362</v>
      </c>
      <c r="C9" s="50" t="s">
        <v>378</v>
      </c>
      <c r="D9" s="42">
        <v>45830</v>
      </c>
      <c r="E9" s="1">
        <f>IF(B9="P0061", SUMPRODUCT(Product!$G$2:$G$15, Product!$H$2:$H$15),
 IF(B9="P0062", SUMPRODUCT(Product!$G$16:$G$50, Product!$H$16:$H$50),
 IF(B9="P0063", SUMPRODUCT(Product!$G$51:$G$65, Product!$H$51:$H$65),
 IF(B9="P0064", SUMPRODUCT(Product!$G$66:$G$85, Product!$H$66:$H$85),
 IF(B9="P0065", SUMPRODUCT(Product!$G$86:$G$115, Product!$H$86:$H$115),
 IF(B9="P0066", SUMPRODUCT(Product!$G$116:$G$139, Product!$H$116:$H$139),
 IF(B9="P0067", SUMPRODUCT(Product!$G$140:$G$169, Product!$H$140:$H$169),
 IF(B9="P0068", SUMPRODUCT(Product!$G$170:$G$189, Product!$H$170:$H$189),
 IF(B9="P0069", SUMPRODUCT(Product!$G$190:$G$209, Product!$H$190:$H$209),
 IF(B9="P0070", SUMPRODUCT(Product!$G$210:$G$233, Product!$H$210:$H$233),
 IF(B9="P0071", SUMPRODUCT(Product!$G$234:$G$273, Product!$H$234:$H$273),
 IF(B9="P0072", SUMPRODUCT(Product!$G$274:$G$304, Product!$H$274:$H$304),
 0))))))))))))</f>
        <v>1152100000</v>
      </c>
      <c r="G9"/>
      <c r="H9"/>
    </row>
    <row r="10" spans="1:8" x14ac:dyDescent="0.35">
      <c r="A10" s="23" t="s">
        <v>995</v>
      </c>
      <c r="B10" s="23" t="s">
        <v>363</v>
      </c>
      <c r="C10" s="50" t="s">
        <v>378</v>
      </c>
      <c r="D10" s="42">
        <v>45830</v>
      </c>
      <c r="E10" s="1">
        <f>IF(B10="P0061", SUMPRODUCT(Product!$G$2:$G$15, Product!$H$2:$H$15),
 IF(B10="P0062", SUMPRODUCT(Product!$G$16:$G$50, Product!$H$16:$H$50),
 IF(B10="P0063", SUMPRODUCT(Product!$G$51:$G$65, Product!$H$51:$H$65),
 IF(B10="P0064", SUMPRODUCT(Product!$G$66:$G$85, Product!$H$66:$H$85),
 IF(B10="P0065", SUMPRODUCT(Product!$G$86:$G$115, Product!$H$86:$H$115),
 IF(B10="P0066", SUMPRODUCT(Product!$G$116:$G$139, Product!$H$116:$H$139),
 IF(B10="P0067", SUMPRODUCT(Product!$G$140:$G$169, Product!$H$140:$H$169),
 IF(B10="P0068", SUMPRODUCT(Product!$G$170:$G$189, Product!$H$170:$H$189),
 IF(B10="P0069", SUMPRODUCT(Product!$G$190:$G$209, Product!$H$190:$H$209),
 IF(B10="P0070", SUMPRODUCT(Product!$G$210:$G$233, Product!$H$210:$H$233),
 IF(B10="P0071", SUMPRODUCT(Product!$G$234:$G$273, Product!$H$234:$H$273),
 IF(B10="P0072", SUMPRODUCT(Product!$G$274:$G$304, Product!$H$274:$H$304),
 0))))))))))))</f>
        <v>1483920000</v>
      </c>
      <c r="G10"/>
      <c r="H10"/>
    </row>
    <row r="11" spans="1:8" x14ac:dyDescent="0.35">
      <c r="A11" s="23" t="s">
        <v>996</v>
      </c>
      <c r="B11" s="23" t="s">
        <v>364</v>
      </c>
      <c r="C11" s="50" t="s">
        <v>378</v>
      </c>
      <c r="D11" s="42">
        <v>45830</v>
      </c>
      <c r="E11" s="1">
        <f>IF(B11="P0061", SUMPRODUCT(Product!$G$2:$G$15, Product!$H$2:$H$15),
 IF(B11="P0062", SUMPRODUCT(Product!$G$16:$G$50, Product!$H$16:$H$50),
 IF(B11="P0063", SUMPRODUCT(Product!$G$51:$G$65, Product!$H$51:$H$65),
 IF(B11="P0064", SUMPRODUCT(Product!$G$66:$G$85, Product!$H$66:$H$85),
 IF(B11="P0065", SUMPRODUCT(Product!$G$86:$G$115, Product!$H$86:$H$115),
 IF(B11="P0066", SUMPRODUCT(Product!$G$116:$G$139, Product!$H$116:$H$139),
 IF(B11="P0067", SUMPRODUCT(Product!$G$140:$G$169, Product!$H$140:$H$169),
 IF(B11="P0068", SUMPRODUCT(Product!$G$170:$G$189, Product!$H$170:$H$189),
 IF(B11="P0069", SUMPRODUCT(Product!$G$190:$G$209, Product!$H$190:$H$209),
 IF(B11="P0070", SUMPRODUCT(Product!$G$210:$G$233, Product!$H$210:$H$233),
 IF(B11="P0071", SUMPRODUCT(Product!$G$234:$G$273, Product!$H$234:$H$273),
 IF(B11="P0072", SUMPRODUCT(Product!$G$274:$G$304, Product!$H$274:$H$304),
 0))))))))))))</f>
        <v>1350605000</v>
      </c>
      <c r="G11"/>
      <c r="H11"/>
    </row>
    <row r="12" spans="1:8" x14ac:dyDescent="0.35">
      <c r="A12" s="23" t="s">
        <v>997</v>
      </c>
      <c r="B12" s="23" t="s">
        <v>365</v>
      </c>
      <c r="C12" s="50" t="s">
        <v>376</v>
      </c>
      <c r="D12" s="42">
        <v>45830</v>
      </c>
      <c r="E12" s="1">
        <f>IF(B12="P0061", SUMPRODUCT(Product!$G$2:$G$15, Product!$H$2:$H$15),
 IF(B12="P0062", SUMPRODUCT(Product!$G$16:$G$50, Product!$H$16:$H$50),
 IF(B12="P0063", SUMPRODUCT(Product!$G$51:$G$65, Product!$H$51:$H$65),
 IF(B12="P0064", SUMPRODUCT(Product!$G$66:$G$85, Product!$H$66:$H$85),
 IF(B12="P0065", SUMPRODUCT(Product!$G$86:$G$115, Product!$H$86:$H$115),
 IF(B12="P0066", SUMPRODUCT(Product!$G$116:$G$139, Product!$H$116:$H$139),
 IF(B12="P0067", SUMPRODUCT(Product!$G$140:$G$169, Product!$H$140:$H$169),
 IF(B12="P0068", SUMPRODUCT(Product!$G$170:$G$189, Product!$H$170:$H$189),
 IF(B12="P0069", SUMPRODUCT(Product!$G$190:$G$209, Product!$H$190:$H$209),
 IF(B12="P0070", SUMPRODUCT(Product!$G$210:$G$233, Product!$H$210:$H$233),
 IF(B12="P0071", SUMPRODUCT(Product!$G$234:$G$273, Product!$H$234:$H$273),
 IF(B12="P0072", SUMPRODUCT(Product!$G$274:$G$304, Product!$H$274:$H$304),
 0))))))))))))</f>
        <v>1764400000</v>
      </c>
      <c r="F12" s="1"/>
      <c r="H12"/>
    </row>
    <row r="13" spans="1:8" x14ac:dyDescent="0.35">
      <c r="A13" s="61" t="s">
        <v>998</v>
      </c>
      <c r="B13" s="61" t="s">
        <v>366</v>
      </c>
      <c r="C13" s="61" t="s">
        <v>377</v>
      </c>
      <c r="D13" s="62">
        <v>45834</v>
      </c>
      <c r="E13" s="63">
        <f>IF(B13="P0061", SUMPRODUCT(Product!$G$2:$G$15, Product!$H$2:$H$15),
 IF(B13="P0062", SUMPRODUCT(Product!$G$16:$G$50, Product!$H$16:$H$50),
 IF(B13="P0063", SUMPRODUCT(Product!$G$51:$G$65, Product!$H$51:$H$65),
 IF(B13="P0064", SUMPRODUCT(Product!$G$66:$G$85, Product!$H$66:$H$85),
 IF(B13="P0065", SUMPRODUCT(Product!$G$86:$G$115, Product!$H$86:$H$115),
 IF(B13="P0066", SUMPRODUCT(Product!$G$116:$G$139, Product!$H$116:$H$139),
 IF(B13="P0067", SUMPRODUCT(Product!$G$140:$G$169, Product!$H$140:$H$169),
 IF(B13="P0068", SUMPRODUCT(Product!$G$170:$G$189, Product!$H$170:$H$189),
 IF(B13="P0069", SUMPRODUCT(Product!$G$190:$G$209, Product!$H$190:$H$209),
 IF(B13="P0070", SUMPRODUCT(Product!$G$210:$G$233, Product!$H$210:$H$233),
 IF(B13="P0071", SUMPRODUCT(Product!$G$234:$G$273, Product!$H$234:$H$273),
 IF(B13="P0072", SUMPRODUCT(Product!$G$274:$G$305, Product!$H$274:$H$305),
 0))))))))))))-(2424*210000+1635*260000+1285*220000+1439*291000+500*180000)</f>
        <v>1451000000</v>
      </c>
      <c r="G13"/>
      <c r="H13"/>
    </row>
    <row r="14" spans="1:8" x14ac:dyDescent="0.35">
      <c r="A14" s="53" t="s">
        <v>999</v>
      </c>
      <c r="B14" s="53" t="s">
        <v>361</v>
      </c>
      <c r="C14" s="54" t="s">
        <v>376</v>
      </c>
      <c r="D14" s="55">
        <v>45841</v>
      </c>
      <c r="E14" s="56">
        <f>IF(B14="P0061", SUMPRODUCT(Product!$G$2:$G$15, Product!$H$2:$H$15),
 IF(B14="P0062", SUMPRODUCT(Product!$G$16:$G$50, Product!$H$16:$H$50),
 IF(B14="P0063", SUMPRODUCT(Product!$G$51:$G$65, Product!$H$51:$H$65),
 IF(B14="P0064", SUMPRODUCT(Product!$G$66:$G$85, Product!$H$66:$H$85),
 IF(B14="P0065", SUMPRODUCT(Product!$G$86:$G$115, Product!$H$86:$H$115),
 IF(B14="P0066", SUMPRODUCT(Product!$G$116:$G$139, Product!$H$116:$H$139),
 IF(B14="P0067", SUMPRODUCT(Product!$G$140:$G$169, Product!$H$140:$H$169),
 IF(B14="P0068", SUMPRODUCT(Product!$G$170:$G$189, Product!$H$170:$H$189),
 IF(B14="P0069", SUMPRODUCT(Product!$G$190:$G$209, Product!$H$190:$H$209),
 IF(B14="P0070", SUMPRODUCT(Product!$G$210:$G$233, Product!$H$210:$H$233),
 IF(B14="P0071", SUMPRODUCT(Product!$G$234:$G$273, Product!$H$234:$H$273),
 IF(B14="P0072", SUMPRODUCT(Product!$G$274:$G$304, Product!$H$274:$H$304),
 0))))))))))))-(250000*1000+250000*3000+110000*3000)</f>
        <v>1642700000</v>
      </c>
      <c r="G14"/>
      <c r="H14"/>
    </row>
    <row r="15" spans="1:8" ht="25" customHeight="1" x14ac:dyDescent="0.35">
      <c r="A15" s="61" t="s">
        <v>1000</v>
      </c>
      <c r="B15" s="61" t="s">
        <v>366</v>
      </c>
      <c r="C15" s="64" t="s">
        <v>378</v>
      </c>
      <c r="D15" s="62">
        <v>45841</v>
      </c>
      <c r="E15" s="63">
        <f>IF(B15="P0061", SUMPRODUCT(Product!$G$2:$G$15, Product!$H$2:$H$15),
 IF(B15="P0062", SUMPRODUCT(Product!$G$16:$G$50, Product!$H$16:$H$50),
 IF(B15="P0063", SUMPRODUCT(Product!$G$51:$G$65, Product!$H$51:$H$65),
 IF(B15="P0064", SUMPRODUCT(Product!$G$66:$G$85, Product!$H$66:$H$85),
 IF(B15="P0065", SUMPRODUCT(Product!$G$86:$G$115, Product!$H$86:$H$115),
 IF(B15="P0066", SUMPRODUCT(Product!$G$116:$G$139, Product!$H$116:$H$139),
 IF(B15="P0067", SUMPRODUCT(Product!$G$140:$G$169, Product!$H$140:$H$169),
 IF(B15="P0068", SUMPRODUCT(Product!$G$170:$G$189, Product!$H$170:$H$189),
 IF(B15="P0069", SUMPRODUCT(Product!$G$190:$G$209, Product!$H$190:$H$209),
 IF(B15="P0070", SUMPRODUCT(Product!$G$210:$G$233, Product!$H$210:$H$233),
 IF(B15="P0071", SUMPRODUCT(Product!$G$234:$G$273, Product!$H$234:$H$273),
 IF(B15="P0072", SUMPRODUCT(Product!$G$274:$G$305, Product!$H$274:$H$305),
 0))))))))))))-(2000*210000+2000*260000+1000*220000+1000*291000)</f>
        <v>1725589000</v>
      </c>
      <c r="G15"/>
      <c r="H15"/>
    </row>
    <row r="16" spans="1:8" x14ac:dyDescent="0.35">
      <c r="A16" s="57" t="s">
        <v>1001</v>
      </c>
      <c r="B16" s="57" t="s">
        <v>360</v>
      </c>
      <c r="C16" s="57" t="s">
        <v>378</v>
      </c>
      <c r="D16" s="59">
        <v>45841</v>
      </c>
      <c r="E16" s="60">
        <f>IF(B16="P0061",SUMPRODUCT(Product!$G$2:$G$15,Product!$H$2:$H$15),
IF(B16="P0062",SUMPRODUCT(Product!$G$16:$G$50,Product!$H$16:$H$50),
IF(B16="P0063",SUMPRODUCT(Product!$G$51:$G$65,Product!$H$51:$H$65),
IF(B16="P0064",SUMPRODUCT(Product!$G$66:$G$85,Product!$H$66:$H$85),
IF(B16="P0065",SUMPRODUCT(Product!$G$86:$G$115,Product!$H$86:$H$115),
IF(B16="P0066",SUMPRODUCT(Product!$G$116:$G$139,Product!$H$116:$H$139),
IF(B16="P0067",SUMPRODUCT(Product!$G$140:$G$169,Product!$H$140:$H$169),
IF(B16="P0068",SUMPRODUCT(Product!$G$170:$G$189,Product!$H$170:$H$189),
IF(B16="P0069",SUMPRODUCT(Product!$G$190:$G$209,Product!$H$190:$H$209),
IF(B16="P0070",SUMPRODUCT(Product!$G$210:$G$233,Product!$H$210:$H$233),
IF(B16="P0071",SUMPRODUCT(Product!$G$234:$G$273,Product!$H$234:$H$273),
IF(B16="P0072",SUMPRODUCT(Product!$G$274:$G$304,Product!$H$274:$H$304),
0))))))))))))-(155000*5000)</f>
        <v>1093990000</v>
      </c>
      <c r="F16" s="1"/>
      <c r="H16"/>
    </row>
    <row r="17" spans="6:8" x14ac:dyDescent="0.35">
      <c r="F17" s="1"/>
      <c r="H17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2A04-4958-4DBC-B6A1-1AD6A2676BE8}">
  <dimension ref="A1:H390"/>
  <sheetViews>
    <sheetView zoomScale="82" workbookViewId="0">
      <selection activeCell="I227" sqref="I1:I1048576"/>
    </sheetView>
  </sheetViews>
  <sheetFormatPr defaultRowHeight="14.5" x14ac:dyDescent="0.35"/>
  <cols>
    <col min="1" max="1" width="14.26953125" bestFit="1" customWidth="1"/>
    <col min="2" max="2" width="9.36328125" bestFit="1" customWidth="1"/>
    <col min="3" max="3" width="10.08984375" bestFit="1" customWidth="1"/>
    <col min="4" max="4" width="43.26953125" customWidth="1"/>
    <col min="5" max="5" width="13.1796875" bestFit="1" customWidth="1"/>
    <col min="6" max="6" width="13.36328125" bestFit="1" customWidth="1"/>
    <col min="7" max="7" width="13.90625" customWidth="1"/>
    <col min="8" max="8" width="10.1796875" bestFit="1" customWidth="1"/>
  </cols>
  <sheetData>
    <row r="1" spans="1:8" x14ac:dyDescent="0.35">
      <c r="A1" s="76" t="s">
        <v>1003</v>
      </c>
      <c r="B1" s="76" t="s">
        <v>932</v>
      </c>
      <c r="C1" s="76" t="s">
        <v>228</v>
      </c>
      <c r="D1" s="76" t="s">
        <v>233</v>
      </c>
      <c r="E1" s="2" t="s">
        <v>402</v>
      </c>
      <c r="F1" s="2" t="s">
        <v>10</v>
      </c>
      <c r="G1" s="76" t="s">
        <v>403</v>
      </c>
      <c r="H1" s="76" t="s">
        <v>1004</v>
      </c>
    </row>
    <row r="2" spans="1:8" x14ac:dyDescent="0.35">
      <c r="A2">
        <v>1</v>
      </c>
      <c r="B2" t="s">
        <v>934</v>
      </c>
      <c r="C2" s="35" t="s">
        <v>462</v>
      </c>
      <c r="D2" s="35" t="s">
        <v>7</v>
      </c>
      <c r="E2" s="35" t="s">
        <v>8</v>
      </c>
      <c r="F2" s="35" t="s">
        <v>31</v>
      </c>
      <c r="G2" s="35">
        <v>324</v>
      </c>
      <c r="H2" s="36">
        <v>120000</v>
      </c>
    </row>
    <row r="3" spans="1:8" x14ac:dyDescent="0.35">
      <c r="A3">
        <v>2</v>
      </c>
      <c r="B3" t="s">
        <v>934</v>
      </c>
      <c r="C3" s="35" t="s">
        <v>463</v>
      </c>
      <c r="D3" s="35" t="s">
        <v>7</v>
      </c>
      <c r="E3" s="35" t="s">
        <v>8</v>
      </c>
      <c r="F3" s="35" t="s">
        <v>20</v>
      </c>
      <c r="G3" s="35">
        <v>549</v>
      </c>
      <c r="H3" s="36">
        <v>120000</v>
      </c>
    </row>
    <row r="4" spans="1:8" x14ac:dyDescent="0.35">
      <c r="A4">
        <v>3</v>
      </c>
      <c r="B4" t="s">
        <v>934</v>
      </c>
      <c r="C4" s="35" t="s">
        <v>464</v>
      </c>
      <c r="D4" s="35" t="s">
        <v>7</v>
      </c>
      <c r="E4" s="35" t="s">
        <v>8</v>
      </c>
      <c r="F4" s="35" t="s">
        <v>11</v>
      </c>
      <c r="G4" s="35">
        <v>372</v>
      </c>
      <c r="H4" s="36">
        <v>120000</v>
      </c>
    </row>
    <row r="5" spans="1:8" x14ac:dyDescent="0.35">
      <c r="A5">
        <v>4</v>
      </c>
      <c r="B5" t="s">
        <v>934</v>
      </c>
      <c r="C5" s="35" t="s">
        <v>465</v>
      </c>
      <c r="D5" s="35" t="s">
        <v>7</v>
      </c>
      <c r="E5" s="35" t="s">
        <v>8</v>
      </c>
      <c r="F5" s="35" t="s">
        <v>15</v>
      </c>
      <c r="G5" s="35">
        <v>606</v>
      </c>
      <c r="H5" s="36">
        <v>120000</v>
      </c>
    </row>
    <row r="6" spans="1:8" x14ac:dyDescent="0.35">
      <c r="A6">
        <v>5</v>
      </c>
      <c r="B6" t="s">
        <v>934</v>
      </c>
      <c r="C6" s="35" t="s">
        <v>466</v>
      </c>
      <c r="D6" s="37" t="s">
        <v>421</v>
      </c>
      <c r="E6" s="37" t="s">
        <v>13</v>
      </c>
      <c r="F6" s="37" t="s">
        <v>20</v>
      </c>
      <c r="G6" s="35">
        <v>394</v>
      </c>
      <c r="H6" s="36">
        <v>90000</v>
      </c>
    </row>
    <row r="7" spans="1:8" x14ac:dyDescent="0.35">
      <c r="A7">
        <v>6</v>
      </c>
      <c r="B7" t="s">
        <v>934</v>
      </c>
      <c r="C7" s="35" t="s">
        <v>467</v>
      </c>
      <c r="D7" s="37" t="s">
        <v>421</v>
      </c>
      <c r="E7" s="37" t="s">
        <v>13</v>
      </c>
      <c r="F7" s="37" t="s">
        <v>11</v>
      </c>
      <c r="G7" s="35">
        <v>347</v>
      </c>
      <c r="H7" s="36">
        <v>90000</v>
      </c>
    </row>
    <row r="8" spans="1:8" x14ac:dyDescent="0.35">
      <c r="A8">
        <v>7</v>
      </c>
      <c r="B8" t="s">
        <v>934</v>
      </c>
      <c r="C8" s="35" t="s">
        <v>468</v>
      </c>
      <c r="D8" s="37" t="s">
        <v>421</v>
      </c>
      <c r="E8" s="37" t="s">
        <v>13</v>
      </c>
      <c r="F8" s="37" t="s">
        <v>15</v>
      </c>
      <c r="G8" s="35">
        <v>564</v>
      </c>
      <c r="H8" s="36">
        <v>90000</v>
      </c>
    </row>
    <row r="9" spans="1:8" x14ac:dyDescent="0.35">
      <c r="A9">
        <v>8</v>
      </c>
      <c r="B9" t="s">
        <v>934</v>
      </c>
      <c r="C9" s="35" t="s">
        <v>469</v>
      </c>
      <c r="D9" s="37" t="s">
        <v>421</v>
      </c>
      <c r="E9" s="37" t="s">
        <v>13</v>
      </c>
      <c r="F9" s="37" t="s">
        <v>12</v>
      </c>
      <c r="G9" s="35">
        <v>713</v>
      </c>
      <c r="H9" s="36">
        <v>90000</v>
      </c>
    </row>
    <row r="10" spans="1:8" x14ac:dyDescent="0.35">
      <c r="A10">
        <v>9</v>
      </c>
      <c r="B10" t="s">
        <v>934</v>
      </c>
      <c r="C10" s="35" t="s">
        <v>470</v>
      </c>
      <c r="D10" s="37" t="s">
        <v>421</v>
      </c>
      <c r="E10" s="37" t="s">
        <v>13</v>
      </c>
      <c r="F10" s="37" t="s">
        <v>19</v>
      </c>
      <c r="G10" s="35">
        <v>340</v>
      </c>
      <c r="H10" s="36">
        <v>90000</v>
      </c>
    </row>
    <row r="11" spans="1:8" x14ac:dyDescent="0.35">
      <c r="A11">
        <v>10</v>
      </c>
      <c r="B11" t="s">
        <v>934</v>
      </c>
      <c r="C11" s="35" t="s">
        <v>471</v>
      </c>
      <c r="D11" s="37" t="s">
        <v>421</v>
      </c>
      <c r="E11" s="37" t="s">
        <v>434</v>
      </c>
      <c r="F11" s="37" t="s">
        <v>20</v>
      </c>
      <c r="G11" s="35">
        <v>59</v>
      </c>
      <c r="H11" s="36">
        <v>90000</v>
      </c>
    </row>
    <row r="12" spans="1:8" x14ac:dyDescent="0.35">
      <c r="A12">
        <v>11</v>
      </c>
      <c r="B12" t="s">
        <v>934</v>
      </c>
      <c r="C12" s="35" t="s">
        <v>472</v>
      </c>
      <c r="D12" s="37" t="s">
        <v>421</v>
      </c>
      <c r="E12" s="37" t="s">
        <v>434</v>
      </c>
      <c r="F12" s="37" t="s">
        <v>11</v>
      </c>
      <c r="G12" s="35">
        <v>698</v>
      </c>
      <c r="H12" s="36">
        <v>90000</v>
      </c>
    </row>
    <row r="13" spans="1:8" x14ac:dyDescent="0.35">
      <c r="A13">
        <v>12</v>
      </c>
      <c r="B13" t="s">
        <v>934</v>
      </c>
      <c r="C13" s="35" t="s">
        <v>473</v>
      </c>
      <c r="D13" s="37" t="s">
        <v>421</v>
      </c>
      <c r="E13" s="37" t="s">
        <v>434</v>
      </c>
      <c r="F13" s="37" t="s">
        <v>15</v>
      </c>
      <c r="G13" s="35">
        <v>527</v>
      </c>
      <c r="H13" s="36">
        <v>90000</v>
      </c>
    </row>
    <row r="14" spans="1:8" x14ac:dyDescent="0.35">
      <c r="A14">
        <v>13</v>
      </c>
      <c r="B14" t="s">
        <v>934</v>
      </c>
      <c r="C14" s="35" t="s">
        <v>474</v>
      </c>
      <c r="D14" s="37" t="s">
        <v>421</v>
      </c>
      <c r="E14" s="37" t="s">
        <v>434</v>
      </c>
      <c r="F14" s="37" t="s">
        <v>12</v>
      </c>
      <c r="G14" s="35">
        <v>468</v>
      </c>
      <c r="H14" s="36">
        <v>90000</v>
      </c>
    </row>
    <row r="15" spans="1:8" x14ac:dyDescent="0.35">
      <c r="A15">
        <v>14</v>
      </c>
      <c r="B15" t="s">
        <v>934</v>
      </c>
      <c r="C15" s="35" t="s">
        <v>475</v>
      </c>
      <c r="D15" s="37" t="s">
        <v>421</v>
      </c>
      <c r="E15" s="37" t="s">
        <v>434</v>
      </c>
      <c r="F15" s="37" t="s">
        <v>19</v>
      </c>
      <c r="G15" s="35">
        <v>544</v>
      </c>
      <c r="H15" s="36">
        <v>90000</v>
      </c>
    </row>
    <row r="16" spans="1:8" x14ac:dyDescent="0.35">
      <c r="A16">
        <v>15</v>
      </c>
      <c r="B16" t="s">
        <v>988</v>
      </c>
      <c r="C16" s="35" t="s">
        <v>476</v>
      </c>
      <c r="D16" s="37" t="s">
        <v>415</v>
      </c>
      <c r="E16" s="37" t="s">
        <v>435</v>
      </c>
      <c r="F16" s="37" t="s">
        <v>20</v>
      </c>
      <c r="G16" s="35">
        <v>705</v>
      </c>
      <c r="H16" s="36">
        <v>70000</v>
      </c>
    </row>
    <row r="17" spans="1:8" x14ac:dyDescent="0.35">
      <c r="A17">
        <v>16</v>
      </c>
      <c r="B17" t="s">
        <v>988</v>
      </c>
      <c r="C17" s="35" t="s">
        <v>477</v>
      </c>
      <c r="D17" s="37" t="s">
        <v>415</v>
      </c>
      <c r="E17" s="37" t="s">
        <v>435</v>
      </c>
      <c r="F17" s="37" t="s">
        <v>11</v>
      </c>
      <c r="G17" s="35">
        <v>377</v>
      </c>
      <c r="H17" s="36">
        <v>70000</v>
      </c>
    </row>
    <row r="18" spans="1:8" x14ac:dyDescent="0.35">
      <c r="A18">
        <v>17</v>
      </c>
      <c r="B18" t="s">
        <v>988</v>
      </c>
      <c r="C18" s="35" t="s">
        <v>478</v>
      </c>
      <c r="D18" s="37" t="s">
        <v>415</v>
      </c>
      <c r="E18" s="37" t="s">
        <v>435</v>
      </c>
      <c r="F18" s="37" t="s">
        <v>15</v>
      </c>
      <c r="G18" s="35">
        <v>893</v>
      </c>
      <c r="H18" s="36">
        <v>70000</v>
      </c>
    </row>
    <row r="19" spans="1:8" x14ac:dyDescent="0.35">
      <c r="A19">
        <v>18</v>
      </c>
      <c r="B19" t="s">
        <v>988</v>
      </c>
      <c r="C19" s="35" t="s">
        <v>479</v>
      </c>
      <c r="D19" s="37" t="s">
        <v>415</v>
      </c>
      <c r="E19" s="37" t="s">
        <v>435</v>
      </c>
      <c r="F19" s="37" t="s">
        <v>12</v>
      </c>
      <c r="G19" s="35">
        <v>818</v>
      </c>
      <c r="H19" s="36">
        <v>70000</v>
      </c>
    </row>
    <row r="20" spans="1:8" x14ac:dyDescent="0.35">
      <c r="A20">
        <v>19</v>
      </c>
      <c r="B20" t="s">
        <v>988</v>
      </c>
      <c r="C20" s="35" t="s">
        <v>480</v>
      </c>
      <c r="D20" s="37" t="s">
        <v>415</v>
      </c>
      <c r="E20" s="37" t="s">
        <v>435</v>
      </c>
      <c r="F20" s="37" t="s">
        <v>19</v>
      </c>
      <c r="G20" s="35">
        <v>635</v>
      </c>
      <c r="H20" s="36">
        <v>70000</v>
      </c>
    </row>
    <row r="21" spans="1:8" x14ac:dyDescent="0.35">
      <c r="A21">
        <v>20</v>
      </c>
      <c r="B21" t="s">
        <v>988</v>
      </c>
      <c r="C21" s="35" t="s">
        <v>481</v>
      </c>
      <c r="D21" s="37" t="s">
        <v>415</v>
      </c>
      <c r="E21" s="37" t="s">
        <v>9</v>
      </c>
      <c r="F21" s="37" t="s">
        <v>20</v>
      </c>
      <c r="G21" s="35">
        <v>451</v>
      </c>
      <c r="H21" s="36">
        <v>70000</v>
      </c>
    </row>
    <row r="22" spans="1:8" x14ac:dyDescent="0.35">
      <c r="A22">
        <v>21</v>
      </c>
      <c r="B22" t="s">
        <v>988</v>
      </c>
      <c r="C22" s="35" t="s">
        <v>482</v>
      </c>
      <c r="D22" s="37" t="s">
        <v>415</v>
      </c>
      <c r="E22" s="37" t="s">
        <v>9</v>
      </c>
      <c r="F22" s="37" t="s">
        <v>11</v>
      </c>
      <c r="G22" s="35">
        <v>687</v>
      </c>
      <c r="H22" s="36">
        <v>70000</v>
      </c>
    </row>
    <row r="23" spans="1:8" x14ac:dyDescent="0.35">
      <c r="A23">
        <v>22</v>
      </c>
      <c r="B23" t="s">
        <v>988</v>
      </c>
      <c r="C23" s="35" t="s">
        <v>483</v>
      </c>
      <c r="D23" s="37" t="s">
        <v>415</v>
      </c>
      <c r="E23" s="37" t="s">
        <v>9</v>
      </c>
      <c r="F23" s="37" t="s">
        <v>15</v>
      </c>
      <c r="G23" s="35">
        <v>138</v>
      </c>
      <c r="H23" s="36">
        <v>70000</v>
      </c>
    </row>
    <row r="24" spans="1:8" x14ac:dyDescent="0.35">
      <c r="A24">
        <v>23</v>
      </c>
      <c r="B24" t="s">
        <v>988</v>
      </c>
      <c r="C24" s="35" t="s">
        <v>484</v>
      </c>
      <c r="D24" s="37" t="s">
        <v>415</v>
      </c>
      <c r="E24" s="37" t="s">
        <v>9</v>
      </c>
      <c r="F24" s="37" t="s">
        <v>12</v>
      </c>
      <c r="G24" s="35">
        <v>469</v>
      </c>
      <c r="H24" s="36">
        <v>70000</v>
      </c>
    </row>
    <row r="25" spans="1:8" x14ac:dyDescent="0.35">
      <c r="A25">
        <v>24</v>
      </c>
      <c r="B25" t="s">
        <v>988</v>
      </c>
      <c r="C25" s="35" t="s">
        <v>485</v>
      </c>
      <c r="D25" s="37" t="s">
        <v>415</v>
      </c>
      <c r="E25" s="37" t="s">
        <v>9</v>
      </c>
      <c r="F25" s="37" t="s">
        <v>19</v>
      </c>
      <c r="G25" s="35">
        <v>562</v>
      </c>
      <c r="H25" s="36">
        <v>70000</v>
      </c>
    </row>
    <row r="26" spans="1:8" x14ac:dyDescent="0.35">
      <c r="A26">
        <v>25</v>
      </c>
      <c r="B26" t="s">
        <v>988</v>
      </c>
      <c r="C26" s="35" t="s">
        <v>486</v>
      </c>
      <c r="D26" s="37" t="s">
        <v>406</v>
      </c>
      <c r="E26" s="37" t="s">
        <v>8</v>
      </c>
      <c r="F26" s="37" t="s">
        <v>20</v>
      </c>
      <c r="G26" s="35">
        <v>826</v>
      </c>
      <c r="H26" s="36">
        <v>120000</v>
      </c>
    </row>
    <row r="27" spans="1:8" x14ac:dyDescent="0.35">
      <c r="A27">
        <v>26</v>
      </c>
      <c r="B27" t="s">
        <v>988</v>
      </c>
      <c r="C27" s="35" t="s">
        <v>487</v>
      </c>
      <c r="D27" s="37" t="s">
        <v>406</v>
      </c>
      <c r="E27" s="37" t="s">
        <v>8</v>
      </c>
      <c r="F27" s="37" t="s">
        <v>11</v>
      </c>
      <c r="G27" s="35">
        <v>699</v>
      </c>
      <c r="H27" s="36">
        <v>120000</v>
      </c>
    </row>
    <row r="28" spans="1:8" x14ac:dyDescent="0.35">
      <c r="A28">
        <v>27</v>
      </c>
      <c r="B28" t="s">
        <v>988</v>
      </c>
      <c r="C28" s="35" t="s">
        <v>488</v>
      </c>
      <c r="D28" s="37" t="s">
        <v>406</v>
      </c>
      <c r="E28" s="37" t="s">
        <v>8</v>
      </c>
      <c r="F28" s="37" t="s">
        <v>15</v>
      </c>
      <c r="G28" s="35">
        <v>135</v>
      </c>
      <c r="H28" s="36">
        <v>120000</v>
      </c>
    </row>
    <row r="29" spans="1:8" x14ac:dyDescent="0.35">
      <c r="A29">
        <v>28</v>
      </c>
      <c r="B29" t="s">
        <v>988</v>
      </c>
      <c r="C29" s="35" t="s">
        <v>489</v>
      </c>
      <c r="D29" s="37" t="s">
        <v>406</v>
      </c>
      <c r="E29" s="37" t="s">
        <v>8</v>
      </c>
      <c r="F29" s="37" t="s">
        <v>12</v>
      </c>
      <c r="G29" s="35">
        <v>798</v>
      </c>
      <c r="H29" s="36">
        <v>120000</v>
      </c>
    </row>
    <row r="30" spans="1:8" x14ac:dyDescent="0.35">
      <c r="A30">
        <v>29</v>
      </c>
      <c r="B30" t="s">
        <v>988</v>
      </c>
      <c r="C30" s="35" t="s">
        <v>490</v>
      </c>
      <c r="D30" s="37" t="s">
        <v>406</v>
      </c>
      <c r="E30" s="37" t="s">
        <v>8</v>
      </c>
      <c r="F30" s="37" t="s">
        <v>19</v>
      </c>
      <c r="G30" s="35">
        <v>655</v>
      </c>
      <c r="H30" s="36">
        <v>120000</v>
      </c>
    </row>
    <row r="31" spans="1:8" x14ac:dyDescent="0.35">
      <c r="A31">
        <v>30</v>
      </c>
      <c r="B31" t="s">
        <v>988</v>
      </c>
      <c r="C31" s="35" t="s">
        <v>491</v>
      </c>
      <c r="D31" s="37" t="s">
        <v>406</v>
      </c>
      <c r="E31" s="37" t="s">
        <v>13</v>
      </c>
      <c r="F31" s="37" t="s">
        <v>20</v>
      </c>
      <c r="G31" s="35">
        <v>624</v>
      </c>
      <c r="H31" s="36">
        <v>120000</v>
      </c>
    </row>
    <row r="32" spans="1:8" x14ac:dyDescent="0.35">
      <c r="A32">
        <v>31</v>
      </c>
      <c r="B32" t="s">
        <v>988</v>
      </c>
      <c r="C32" s="35" t="s">
        <v>492</v>
      </c>
      <c r="D32" s="37" t="s">
        <v>406</v>
      </c>
      <c r="E32" s="37" t="s">
        <v>13</v>
      </c>
      <c r="F32" s="37" t="s">
        <v>11</v>
      </c>
      <c r="G32" s="35">
        <v>324</v>
      </c>
      <c r="H32" s="36">
        <v>120000</v>
      </c>
    </row>
    <row r="33" spans="1:8" x14ac:dyDescent="0.35">
      <c r="A33">
        <v>32</v>
      </c>
      <c r="B33" t="s">
        <v>988</v>
      </c>
      <c r="C33" s="35" t="s">
        <v>493</v>
      </c>
      <c r="D33" s="37" t="s">
        <v>406</v>
      </c>
      <c r="E33" s="37" t="s">
        <v>13</v>
      </c>
      <c r="F33" s="37" t="s">
        <v>15</v>
      </c>
      <c r="G33" s="35">
        <v>612</v>
      </c>
      <c r="H33" s="36">
        <v>120000</v>
      </c>
    </row>
    <row r="34" spans="1:8" x14ac:dyDescent="0.35">
      <c r="A34">
        <v>33</v>
      </c>
      <c r="B34" t="s">
        <v>988</v>
      </c>
      <c r="C34" s="35" t="s">
        <v>494</v>
      </c>
      <c r="D34" s="37" t="s">
        <v>406</v>
      </c>
      <c r="E34" s="37" t="s">
        <v>13</v>
      </c>
      <c r="F34" s="37" t="s">
        <v>12</v>
      </c>
      <c r="G34" s="35">
        <v>493</v>
      </c>
      <c r="H34" s="36">
        <v>120000</v>
      </c>
    </row>
    <row r="35" spans="1:8" x14ac:dyDescent="0.35">
      <c r="A35">
        <v>34</v>
      </c>
      <c r="B35" t="s">
        <v>988</v>
      </c>
      <c r="C35" s="35" t="s">
        <v>495</v>
      </c>
      <c r="D35" s="37" t="s">
        <v>406</v>
      </c>
      <c r="E35" s="37" t="s">
        <v>13</v>
      </c>
      <c r="F35" s="37" t="s">
        <v>19</v>
      </c>
      <c r="G35" s="35">
        <v>683</v>
      </c>
      <c r="H35" s="36">
        <v>120000</v>
      </c>
    </row>
    <row r="36" spans="1:8" x14ac:dyDescent="0.35">
      <c r="A36">
        <v>35</v>
      </c>
      <c r="B36" t="s">
        <v>988</v>
      </c>
      <c r="C36" s="35" t="s">
        <v>496</v>
      </c>
      <c r="D36" s="37" t="s">
        <v>416</v>
      </c>
      <c r="E36" s="37" t="s">
        <v>436</v>
      </c>
      <c r="F36" s="37" t="s">
        <v>20</v>
      </c>
      <c r="G36" s="35">
        <v>437</v>
      </c>
      <c r="H36" s="36">
        <v>100000</v>
      </c>
    </row>
    <row r="37" spans="1:8" x14ac:dyDescent="0.35">
      <c r="A37">
        <v>36</v>
      </c>
      <c r="B37" t="s">
        <v>988</v>
      </c>
      <c r="C37" s="35" t="s">
        <v>497</v>
      </c>
      <c r="D37" s="37" t="s">
        <v>416</v>
      </c>
      <c r="E37" s="37" t="s">
        <v>436</v>
      </c>
      <c r="F37" s="37" t="s">
        <v>11</v>
      </c>
      <c r="G37" s="35">
        <v>331</v>
      </c>
      <c r="H37" s="36">
        <v>100000</v>
      </c>
    </row>
    <row r="38" spans="1:8" x14ac:dyDescent="0.35">
      <c r="A38">
        <v>37</v>
      </c>
      <c r="B38" t="s">
        <v>988</v>
      </c>
      <c r="C38" s="35" t="s">
        <v>498</v>
      </c>
      <c r="D38" s="37" t="s">
        <v>416</v>
      </c>
      <c r="E38" s="37" t="s">
        <v>436</v>
      </c>
      <c r="F38" s="37" t="s">
        <v>15</v>
      </c>
      <c r="G38" s="35">
        <v>865</v>
      </c>
      <c r="H38" s="36">
        <v>100000</v>
      </c>
    </row>
    <row r="39" spans="1:8" x14ac:dyDescent="0.35">
      <c r="A39">
        <v>38</v>
      </c>
      <c r="B39" t="s">
        <v>988</v>
      </c>
      <c r="C39" s="35" t="s">
        <v>499</v>
      </c>
      <c r="D39" s="37" t="s">
        <v>416</v>
      </c>
      <c r="E39" s="37" t="s">
        <v>436</v>
      </c>
      <c r="F39" s="37" t="s">
        <v>12</v>
      </c>
      <c r="G39" s="35">
        <v>418</v>
      </c>
      <c r="H39" s="36">
        <v>100000</v>
      </c>
    </row>
    <row r="40" spans="1:8" x14ac:dyDescent="0.35">
      <c r="A40">
        <v>39</v>
      </c>
      <c r="B40" t="s">
        <v>988</v>
      </c>
      <c r="C40" s="35" t="s">
        <v>500</v>
      </c>
      <c r="D40" s="37" t="s">
        <v>416</v>
      </c>
      <c r="E40" s="37" t="s">
        <v>436</v>
      </c>
      <c r="F40" s="37" t="s">
        <v>19</v>
      </c>
      <c r="G40" s="35">
        <v>340</v>
      </c>
      <c r="H40" s="36">
        <v>100000</v>
      </c>
    </row>
    <row r="41" spans="1:8" x14ac:dyDescent="0.35">
      <c r="A41">
        <v>40</v>
      </c>
      <c r="B41" t="s">
        <v>988</v>
      </c>
      <c r="C41" s="35" t="s">
        <v>501</v>
      </c>
      <c r="D41" s="37" t="s">
        <v>416</v>
      </c>
      <c r="E41" s="37" t="s">
        <v>437</v>
      </c>
      <c r="F41" s="37" t="s">
        <v>20</v>
      </c>
      <c r="G41" s="35">
        <v>798</v>
      </c>
      <c r="H41" s="36">
        <v>100000</v>
      </c>
    </row>
    <row r="42" spans="1:8" x14ac:dyDescent="0.35">
      <c r="A42">
        <v>41</v>
      </c>
      <c r="B42" t="s">
        <v>988</v>
      </c>
      <c r="C42" s="35" t="s">
        <v>502</v>
      </c>
      <c r="D42" s="37" t="s">
        <v>416</v>
      </c>
      <c r="E42" s="37" t="s">
        <v>437</v>
      </c>
      <c r="F42" s="37" t="s">
        <v>11</v>
      </c>
      <c r="G42" s="35">
        <v>682</v>
      </c>
      <c r="H42" s="36">
        <v>100000</v>
      </c>
    </row>
    <row r="43" spans="1:8" x14ac:dyDescent="0.35">
      <c r="A43">
        <v>42</v>
      </c>
      <c r="B43" t="s">
        <v>988</v>
      </c>
      <c r="C43" s="35" t="s">
        <v>503</v>
      </c>
      <c r="D43" s="37" t="s">
        <v>416</v>
      </c>
      <c r="E43" s="37" t="s">
        <v>437</v>
      </c>
      <c r="F43" s="37" t="s">
        <v>15</v>
      </c>
      <c r="G43" s="35">
        <v>668</v>
      </c>
      <c r="H43" s="36">
        <v>100000</v>
      </c>
    </row>
    <row r="44" spans="1:8" x14ac:dyDescent="0.35">
      <c r="A44">
        <v>43</v>
      </c>
      <c r="B44" t="s">
        <v>988</v>
      </c>
      <c r="C44" s="35" t="s">
        <v>504</v>
      </c>
      <c r="D44" s="37" t="s">
        <v>416</v>
      </c>
      <c r="E44" s="37" t="s">
        <v>437</v>
      </c>
      <c r="F44" s="37" t="s">
        <v>12</v>
      </c>
      <c r="G44" s="35">
        <v>655</v>
      </c>
      <c r="H44" s="36">
        <v>100000</v>
      </c>
    </row>
    <row r="45" spans="1:8" x14ac:dyDescent="0.35">
      <c r="A45">
        <v>44</v>
      </c>
      <c r="B45" t="s">
        <v>988</v>
      </c>
      <c r="C45" s="35" t="s">
        <v>505</v>
      </c>
      <c r="D45" s="37" t="s">
        <v>416</v>
      </c>
      <c r="E45" s="37" t="s">
        <v>437</v>
      </c>
      <c r="F45" s="37" t="s">
        <v>19</v>
      </c>
      <c r="G45" s="35">
        <v>144</v>
      </c>
      <c r="H45" s="36">
        <v>100000</v>
      </c>
    </row>
    <row r="46" spans="1:8" x14ac:dyDescent="0.35">
      <c r="A46">
        <v>45</v>
      </c>
      <c r="B46" t="s">
        <v>988</v>
      </c>
      <c r="C46" s="35" t="s">
        <v>506</v>
      </c>
      <c r="D46" s="37" t="s">
        <v>416</v>
      </c>
      <c r="E46" s="38" t="s">
        <v>30</v>
      </c>
      <c r="F46" s="37" t="s">
        <v>20</v>
      </c>
      <c r="G46" s="35">
        <v>333</v>
      </c>
      <c r="H46" s="36">
        <v>100000</v>
      </c>
    </row>
    <row r="47" spans="1:8" x14ac:dyDescent="0.35">
      <c r="A47">
        <v>46</v>
      </c>
      <c r="B47" t="s">
        <v>988</v>
      </c>
      <c r="C47" s="35" t="s">
        <v>507</v>
      </c>
      <c r="D47" s="37" t="s">
        <v>416</v>
      </c>
      <c r="E47" s="38" t="s">
        <v>30</v>
      </c>
      <c r="F47" s="37" t="s">
        <v>11</v>
      </c>
      <c r="G47" s="35">
        <v>355</v>
      </c>
      <c r="H47" s="36">
        <v>100000</v>
      </c>
    </row>
    <row r="48" spans="1:8" x14ac:dyDescent="0.35">
      <c r="A48">
        <v>47</v>
      </c>
      <c r="B48" t="s">
        <v>988</v>
      </c>
      <c r="C48" s="35" t="s">
        <v>508</v>
      </c>
      <c r="D48" s="37" t="s">
        <v>416</v>
      </c>
      <c r="E48" s="38" t="s">
        <v>30</v>
      </c>
      <c r="F48" s="37" t="s">
        <v>15</v>
      </c>
      <c r="G48" s="35">
        <v>77</v>
      </c>
      <c r="H48" s="36">
        <v>100000</v>
      </c>
    </row>
    <row r="49" spans="1:8" x14ac:dyDescent="0.35">
      <c r="A49">
        <v>48</v>
      </c>
      <c r="B49" t="s">
        <v>988</v>
      </c>
      <c r="C49" s="35" t="s">
        <v>509</v>
      </c>
      <c r="D49" s="37" t="s">
        <v>416</v>
      </c>
      <c r="E49" s="38" t="s">
        <v>30</v>
      </c>
      <c r="F49" s="37" t="s">
        <v>12</v>
      </c>
      <c r="G49" s="35">
        <v>153</v>
      </c>
      <c r="H49" s="36">
        <v>100000</v>
      </c>
    </row>
    <row r="50" spans="1:8" x14ac:dyDescent="0.35">
      <c r="A50">
        <v>49</v>
      </c>
      <c r="B50" t="s">
        <v>988</v>
      </c>
      <c r="C50" s="35" t="s">
        <v>510</v>
      </c>
      <c r="D50" s="37" t="s">
        <v>416</v>
      </c>
      <c r="E50" s="38" t="s">
        <v>30</v>
      </c>
      <c r="F50" s="37" t="s">
        <v>19</v>
      </c>
      <c r="G50" s="35">
        <v>600</v>
      </c>
      <c r="H50" s="36">
        <v>100000</v>
      </c>
    </row>
    <row r="51" spans="1:8" x14ac:dyDescent="0.35">
      <c r="A51">
        <v>50</v>
      </c>
      <c r="B51" t="s">
        <v>989</v>
      </c>
      <c r="C51" s="35" t="s">
        <v>511</v>
      </c>
      <c r="D51" s="37" t="s">
        <v>422</v>
      </c>
      <c r="E51" s="37" t="s">
        <v>438</v>
      </c>
      <c r="F51" s="37" t="s">
        <v>20</v>
      </c>
      <c r="G51" s="35">
        <v>786</v>
      </c>
      <c r="H51" s="36">
        <v>140000</v>
      </c>
    </row>
    <row r="52" spans="1:8" x14ac:dyDescent="0.35">
      <c r="A52">
        <v>51</v>
      </c>
      <c r="B52" t="s">
        <v>989</v>
      </c>
      <c r="C52" s="35" t="s">
        <v>512</v>
      </c>
      <c r="D52" s="37" t="s">
        <v>422</v>
      </c>
      <c r="E52" s="37" t="s">
        <v>438</v>
      </c>
      <c r="F52" s="37" t="s">
        <v>11</v>
      </c>
      <c r="G52" s="35">
        <v>60</v>
      </c>
      <c r="H52" s="36">
        <v>140000</v>
      </c>
    </row>
    <row r="53" spans="1:8" x14ac:dyDescent="0.35">
      <c r="A53">
        <v>52</v>
      </c>
      <c r="B53" t="s">
        <v>989</v>
      </c>
      <c r="C53" s="35" t="s">
        <v>513</v>
      </c>
      <c r="D53" s="37" t="s">
        <v>422</v>
      </c>
      <c r="E53" s="37" t="s">
        <v>438</v>
      </c>
      <c r="F53" s="37" t="s">
        <v>15</v>
      </c>
      <c r="G53" s="35">
        <v>610</v>
      </c>
      <c r="H53" s="36">
        <v>140000</v>
      </c>
    </row>
    <row r="54" spans="1:8" x14ac:dyDescent="0.35">
      <c r="A54">
        <v>53</v>
      </c>
      <c r="B54" t="s">
        <v>989</v>
      </c>
      <c r="C54" s="35" t="s">
        <v>514</v>
      </c>
      <c r="D54" s="37" t="s">
        <v>422</v>
      </c>
      <c r="E54" s="37" t="s">
        <v>438</v>
      </c>
      <c r="F54" s="37" t="s">
        <v>12</v>
      </c>
      <c r="G54" s="35">
        <v>283</v>
      </c>
      <c r="H54" s="36">
        <v>140000</v>
      </c>
    </row>
    <row r="55" spans="1:8" x14ac:dyDescent="0.35">
      <c r="A55">
        <v>54</v>
      </c>
      <c r="B55" t="s">
        <v>989</v>
      </c>
      <c r="C55" s="35" t="s">
        <v>515</v>
      </c>
      <c r="D55" s="37" t="s">
        <v>422</v>
      </c>
      <c r="E55" s="37" t="s">
        <v>438</v>
      </c>
      <c r="F55" s="37" t="s">
        <v>19</v>
      </c>
      <c r="G55" s="35">
        <v>465</v>
      </c>
      <c r="H55" s="36">
        <v>140000</v>
      </c>
    </row>
    <row r="56" spans="1:8" x14ac:dyDescent="0.35">
      <c r="A56">
        <v>55</v>
      </c>
      <c r="B56" t="s">
        <v>989</v>
      </c>
      <c r="C56" s="35" t="s">
        <v>516</v>
      </c>
      <c r="D56" s="37" t="s">
        <v>422</v>
      </c>
      <c r="E56" s="37" t="s">
        <v>8</v>
      </c>
      <c r="F56" s="37" t="s">
        <v>20</v>
      </c>
      <c r="G56" s="35">
        <v>416</v>
      </c>
      <c r="H56" s="36">
        <v>140000</v>
      </c>
    </row>
    <row r="57" spans="1:8" x14ac:dyDescent="0.35">
      <c r="A57">
        <v>56</v>
      </c>
      <c r="B57" t="s">
        <v>989</v>
      </c>
      <c r="C57" s="35" t="s">
        <v>517</v>
      </c>
      <c r="D57" s="37" t="s">
        <v>422</v>
      </c>
      <c r="E57" s="37" t="s">
        <v>8</v>
      </c>
      <c r="F57" s="37" t="s">
        <v>11</v>
      </c>
      <c r="G57" s="35">
        <v>696</v>
      </c>
      <c r="H57" s="36">
        <v>140000</v>
      </c>
    </row>
    <row r="58" spans="1:8" x14ac:dyDescent="0.35">
      <c r="A58">
        <v>57</v>
      </c>
      <c r="B58" t="s">
        <v>989</v>
      </c>
      <c r="C58" s="35" t="s">
        <v>518</v>
      </c>
      <c r="D58" s="37" t="s">
        <v>422</v>
      </c>
      <c r="E58" s="37" t="s">
        <v>8</v>
      </c>
      <c r="F58" s="37" t="s">
        <v>15</v>
      </c>
      <c r="G58" s="35">
        <v>228</v>
      </c>
      <c r="H58" s="36">
        <v>140000</v>
      </c>
    </row>
    <row r="59" spans="1:8" x14ac:dyDescent="0.35">
      <c r="A59">
        <v>58</v>
      </c>
      <c r="B59" t="s">
        <v>989</v>
      </c>
      <c r="C59" s="35" t="s">
        <v>519</v>
      </c>
      <c r="D59" s="37" t="s">
        <v>422</v>
      </c>
      <c r="E59" s="37" t="s">
        <v>8</v>
      </c>
      <c r="F59" s="37" t="s">
        <v>12</v>
      </c>
      <c r="G59" s="35">
        <v>114</v>
      </c>
      <c r="H59" s="36">
        <v>140000</v>
      </c>
    </row>
    <row r="60" spans="1:8" x14ac:dyDescent="0.35">
      <c r="A60">
        <v>59</v>
      </c>
      <c r="B60" t="s">
        <v>989</v>
      </c>
      <c r="C60" s="35" t="s">
        <v>520</v>
      </c>
      <c r="D60" s="37" t="s">
        <v>422</v>
      </c>
      <c r="E60" s="37" t="s">
        <v>8</v>
      </c>
      <c r="F60" s="37" t="s">
        <v>19</v>
      </c>
      <c r="G60" s="35">
        <v>182</v>
      </c>
      <c r="H60" s="36">
        <v>140000</v>
      </c>
    </row>
    <row r="61" spans="1:8" x14ac:dyDescent="0.35">
      <c r="A61">
        <v>60</v>
      </c>
      <c r="B61" t="s">
        <v>989</v>
      </c>
      <c r="C61" s="35" t="s">
        <v>521</v>
      </c>
      <c r="D61" s="37" t="s">
        <v>427</v>
      </c>
      <c r="E61" s="37" t="s">
        <v>439</v>
      </c>
      <c r="F61" s="37" t="s">
        <v>20</v>
      </c>
      <c r="G61" s="35">
        <v>836</v>
      </c>
      <c r="H61" s="36">
        <v>110000</v>
      </c>
    </row>
    <row r="62" spans="1:8" x14ac:dyDescent="0.35">
      <c r="A62">
        <v>61</v>
      </c>
      <c r="B62" t="s">
        <v>989</v>
      </c>
      <c r="C62" s="35" t="s">
        <v>522</v>
      </c>
      <c r="D62" s="37" t="s">
        <v>427</v>
      </c>
      <c r="E62" s="37" t="s">
        <v>439</v>
      </c>
      <c r="F62" s="37" t="s">
        <v>11</v>
      </c>
      <c r="G62" s="35">
        <v>583</v>
      </c>
      <c r="H62" s="36">
        <v>110000</v>
      </c>
    </row>
    <row r="63" spans="1:8" x14ac:dyDescent="0.35">
      <c r="A63">
        <v>62</v>
      </c>
      <c r="B63" t="s">
        <v>989</v>
      </c>
      <c r="C63" s="35" t="s">
        <v>523</v>
      </c>
      <c r="D63" s="37" t="s">
        <v>427</v>
      </c>
      <c r="E63" s="37" t="s">
        <v>439</v>
      </c>
      <c r="F63" s="37" t="s">
        <v>15</v>
      </c>
      <c r="G63" s="35">
        <v>404</v>
      </c>
      <c r="H63" s="36">
        <v>110000</v>
      </c>
    </row>
    <row r="64" spans="1:8" x14ac:dyDescent="0.35">
      <c r="A64">
        <v>63</v>
      </c>
      <c r="B64" t="s">
        <v>989</v>
      </c>
      <c r="C64" s="35" t="s">
        <v>524</v>
      </c>
      <c r="D64" s="37" t="s">
        <v>427</v>
      </c>
      <c r="E64" s="37" t="s">
        <v>439</v>
      </c>
      <c r="F64" s="37" t="s">
        <v>12</v>
      </c>
      <c r="G64" s="35">
        <v>174</v>
      </c>
      <c r="H64" s="36">
        <v>110000</v>
      </c>
    </row>
    <row r="65" spans="1:8" x14ac:dyDescent="0.35">
      <c r="A65">
        <v>64</v>
      </c>
      <c r="B65" t="s">
        <v>989</v>
      </c>
      <c r="C65" s="35" t="s">
        <v>525</v>
      </c>
      <c r="D65" s="37" t="s">
        <v>427</v>
      </c>
      <c r="E65" s="37" t="s">
        <v>439</v>
      </c>
      <c r="F65" s="37" t="s">
        <v>19</v>
      </c>
      <c r="G65" s="35">
        <v>115</v>
      </c>
      <c r="H65" s="36">
        <v>110000</v>
      </c>
    </row>
    <row r="66" spans="1:8" x14ac:dyDescent="0.35">
      <c r="A66">
        <v>65</v>
      </c>
      <c r="B66" t="s">
        <v>990</v>
      </c>
      <c r="C66" s="35" t="s">
        <v>526</v>
      </c>
      <c r="D66" s="37" t="s">
        <v>430</v>
      </c>
      <c r="E66" s="37" t="s">
        <v>8</v>
      </c>
      <c r="F66" s="37" t="s">
        <v>20</v>
      </c>
      <c r="G66" s="35">
        <v>356</v>
      </c>
      <c r="H66" s="36">
        <v>110000</v>
      </c>
    </row>
    <row r="67" spans="1:8" x14ac:dyDescent="0.35">
      <c r="A67">
        <v>66</v>
      </c>
      <c r="B67" t="s">
        <v>990</v>
      </c>
      <c r="C67" s="35" t="s">
        <v>527</v>
      </c>
      <c r="D67" s="37" t="s">
        <v>430</v>
      </c>
      <c r="E67" s="37" t="s">
        <v>8</v>
      </c>
      <c r="F67" s="37" t="s">
        <v>11</v>
      </c>
      <c r="G67" s="35">
        <v>849</v>
      </c>
      <c r="H67" s="36">
        <v>110000</v>
      </c>
    </row>
    <row r="68" spans="1:8" x14ac:dyDescent="0.35">
      <c r="A68">
        <v>67</v>
      </c>
      <c r="B68" t="s">
        <v>990</v>
      </c>
      <c r="C68" s="35" t="s">
        <v>528</v>
      </c>
      <c r="D68" s="37" t="s">
        <v>430</v>
      </c>
      <c r="E68" s="37" t="s">
        <v>8</v>
      </c>
      <c r="F68" s="37" t="s">
        <v>15</v>
      </c>
      <c r="G68" s="35">
        <v>224</v>
      </c>
      <c r="H68" s="36">
        <v>110000</v>
      </c>
    </row>
    <row r="69" spans="1:8" x14ac:dyDescent="0.35">
      <c r="A69">
        <v>68</v>
      </c>
      <c r="B69" t="s">
        <v>990</v>
      </c>
      <c r="C69" s="35" t="s">
        <v>529</v>
      </c>
      <c r="D69" s="37" t="s">
        <v>430</v>
      </c>
      <c r="E69" s="37" t="s">
        <v>8</v>
      </c>
      <c r="F69" s="37" t="s">
        <v>12</v>
      </c>
      <c r="G69" s="35">
        <v>414</v>
      </c>
      <c r="H69" s="36">
        <v>110000</v>
      </c>
    </row>
    <row r="70" spans="1:8" x14ac:dyDescent="0.35">
      <c r="A70">
        <v>69</v>
      </c>
      <c r="B70" t="s">
        <v>990</v>
      </c>
      <c r="C70" s="35" t="s">
        <v>530</v>
      </c>
      <c r="D70" s="37" t="s">
        <v>430</v>
      </c>
      <c r="E70" s="37" t="s">
        <v>8</v>
      </c>
      <c r="F70" s="37" t="s">
        <v>19</v>
      </c>
      <c r="G70" s="35">
        <v>994</v>
      </c>
      <c r="H70" s="36">
        <v>110000</v>
      </c>
    </row>
    <row r="71" spans="1:8" x14ac:dyDescent="0.35">
      <c r="A71">
        <v>70</v>
      </c>
      <c r="B71" t="s">
        <v>990</v>
      </c>
      <c r="C71" s="35" t="s">
        <v>531</v>
      </c>
      <c r="D71" s="37" t="s">
        <v>430</v>
      </c>
      <c r="E71" s="37" t="s">
        <v>13</v>
      </c>
      <c r="F71" s="37" t="s">
        <v>20</v>
      </c>
      <c r="G71" s="35">
        <v>212</v>
      </c>
      <c r="H71" s="36">
        <v>110000</v>
      </c>
    </row>
    <row r="72" spans="1:8" x14ac:dyDescent="0.35">
      <c r="A72">
        <v>71</v>
      </c>
      <c r="B72" t="s">
        <v>990</v>
      </c>
      <c r="C72" s="35" t="s">
        <v>532</v>
      </c>
      <c r="D72" s="37" t="s">
        <v>430</v>
      </c>
      <c r="E72" s="37" t="s">
        <v>13</v>
      </c>
      <c r="F72" s="37" t="s">
        <v>11</v>
      </c>
      <c r="G72" s="35">
        <v>981</v>
      </c>
      <c r="H72" s="36">
        <v>110000</v>
      </c>
    </row>
    <row r="73" spans="1:8" x14ac:dyDescent="0.35">
      <c r="A73">
        <v>72</v>
      </c>
      <c r="B73" t="s">
        <v>990</v>
      </c>
      <c r="C73" s="35" t="s">
        <v>533</v>
      </c>
      <c r="D73" s="37" t="s">
        <v>430</v>
      </c>
      <c r="E73" s="37" t="s">
        <v>13</v>
      </c>
      <c r="F73" s="37" t="s">
        <v>15</v>
      </c>
      <c r="G73" s="35">
        <v>553</v>
      </c>
      <c r="H73" s="36">
        <v>110000</v>
      </c>
    </row>
    <row r="74" spans="1:8" x14ac:dyDescent="0.35">
      <c r="A74">
        <v>73</v>
      </c>
      <c r="B74" t="s">
        <v>990</v>
      </c>
      <c r="C74" s="35" t="s">
        <v>534</v>
      </c>
      <c r="D74" s="37" t="s">
        <v>430</v>
      </c>
      <c r="E74" s="37" t="s">
        <v>13</v>
      </c>
      <c r="F74" s="37" t="s">
        <v>12</v>
      </c>
      <c r="G74" s="35">
        <v>15</v>
      </c>
      <c r="H74" s="36">
        <v>110000</v>
      </c>
    </row>
    <row r="75" spans="1:8" x14ac:dyDescent="0.35">
      <c r="A75">
        <v>74</v>
      </c>
      <c r="B75" t="s">
        <v>990</v>
      </c>
      <c r="C75" s="35" t="s">
        <v>535</v>
      </c>
      <c r="D75" s="37" t="s">
        <v>430</v>
      </c>
      <c r="E75" s="37" t="s">
        <v>13</v>
      </c>
      <c r="F75" s="37" t="s">
        <v>19</v>
      </c>
      <c r="G75" s="35">
        <v>941</v>
      </c>
      <c r="H75" s="36">
        <v>110000</v>
      </c>
    </row>
    <row r="76" spans="1:8" x14ac:dyDescent="0.35">
      <c r="A76">
        <v>75</v>
      </c>
      <c r="B76" t="s">
        <v>990</v>
      </c>
      <c r="C76" s="35" t="s">
        <v>536</v>
      </c>
      <c r="D76" s="37" t="s">
        <v>14</v>
      </c>
      <c r="E76" s="37" t="s">
        <v>440</v>
      </c>
      <c r="F76" s="37" t="s">
        <v>20</v>
      </c>
      <c r="G76" s="35">
        <v>228</v>
      </c>
      <c r="H76" s="36">
        <v>160000</v>
      </c>
    </row>
    <row r="77" spans="1:8" x14ac:dyDescent="0.35">
      <c r="A77">
        <v>76</v>
      </c>
      <c r="B77" t="s">
        <v>990</v>
      </c>
      <c r="C77" s="35" t="s">
        <v>537</v>
      </c>
      <c r="D77" s="37" t="s">
        <v>14</v>
      </c>
      <c r="E77" s="37" t="s">
        <v>440</v>
      </c>
      <c r="F77" s="37" t="s">
        <v>11</v>
      </c>
      <c r="G77" s="35">
        <v>237</v>
      </c>
      <c r="H77" s="36">
        <v>160000</v>
      </c>
    </row>
    <row r="78" spans="1:8" x14ac:dyDescent="0.35">
      <c r="A78">
        <v>77</v>
      </c>
      <c r="B78" t="s">
        <v>990</v>
      </c>
      <c r="C78" s="35" t="s">
        <v>538</v>
      </c>
      <c r="D78" s="37" t="s">
        <v>14</v>
      </c>
      <c r="E78" s="37" t="s">
        <v>440</v>
      </c>
      <c r="F78" s="37" t="s">
        <v>15</v>
      </c>
      <c r="G78" s="35">
        <v>918</v>
      </c>
      <c r="H78" s="36">
        <v>160000</v>
      </c>
    </row>
    <row r="79" spans="1:8" x14ac:dyDescent="0.35">
      <c r="A79">
        <v>78</v>
      </c>
      <c r="B79" t="s">
        <v>990</v>
      </c>
      <c r="C79" s="35" t="s">
        <v>539</v>
      </c>
      <c r="D79" s="37" t="s">
        <v>14</v>
      </c>
      <c r="E79" s="37" t="s">
        <v>440</v>
      </c>
      <c r="F79" s="37" t="s">
        <v>12</v>
      </c>
      <c r="G79" s="35">
        <v>77</v>
      </c>
      <c r="H79" s="36">
        <v>160000</v>
      </c>
    </row>
    <row r="80" spans="1:8" x14ac:dyDescent="0.35">
      <c r="A80">
        <v>79</v>
      </c>
      <c r="B80" t="s">
        <v>990</v>
      </c>
      <c r="C80" s="35" t="s">
        <v>540</v>
      </c>
      <c r="D80" s="37" t="s">
        <v>14</v>
      </c>
      <c r="E80" s="37" t="s">
        <v>440</v>
      </c>
      <c r="F80" s="37" t="s">
        <v>19</v>
      </c>
      <c r="G80" s="35">
        <v>246</v>
      </c>
      <c r="H80" s="36">
        <v>160000</v>
      </c>
    </row>
    <row r="81" spans="1:8" x14ac:dyDescent="0.35">
      <c r="A81">
        <v>80</v>
      </c>
      <c r="B81" t="s">
        <v>990</v>
      </c>
      <c r="C81" s="35" t="s">
        <v>541</v>
      </c>
      <c r="D81" s="37" t="s">
        <v>14</v>
      </c>
      <c r="E81" s="37" t="s">
        <v>441</v>
      </c>
      <c r="F81" s="37" t="s">
        <v>20</v>
      </c>
      <c r="G81" s="35">
        <v>232</v>
      </c>
      <c r="H81" s="36">
        <v>160000</v>
      </c>
    </row>
    <row r="82" spans="1:8" x14ac:dyDescent="0.35">
      <c r="A82">
        <v>81</v>
      </c>
      <c r="B82" t="s">
        <v>990</v>
      </c>
      <c r="C82" s="35" t="s">
        <v>542</v>
      </c>
      <c r="D82" s="37" t="s">
        <v>14</v>
      </c>
      <c r="E82" s="37" t="s">
        <v>441</v>
      </c>
      <c r="F82" s="37" t="s">
        <v>11</v>
      </c>
      <c r="G82" s="35">
        <v>268</v>
      </c>
      <c r="H82" s="36">
        <v>160000</v>
      </c>
    </row>
    <row r="83" spans="1:8" x14ac:dyDescent="0.35">
      <c r="A83">
        <v>82</v>
      </c>
      <c r="B83" t="s">
        <v>990</v>
      </c>
      <c r="C83" s="35" t="s">
        <v>543</v>
      </c>
      <c r="D83" s="37" t="s">
        <v>14</v>
      </c>
      <c r="E83" s="37" t="s">
        <v>441</v>
      </c>
      <c r="F83" s="37" t="s">
        <v>15</v>
      </c>
      <c r="G83" s="35">
        <v>537</v>
      </c>
      <c r="H83" s="36">
        <v>160000</v>
      </c>
    </row>
    <row r="84" spans="1:8" x14ac:dyDescent="0.35">
      <c r="A84">
        <v>83</v>
      </c>
      <c r="B84" t="s">
        <v>990</v>
      </c>
      <c r="C84" s="35" t="s">
        <v>544</v>
      </c>
      <c r="D84" s="37" t="s">
        <v>14</v>
      </c>
      <c r="E84" s="37" t="s">
        <v>441</v>
      </c>
      <c r="F84" s="37" t="s">
        <v>12</v>
      </c>
      <c r="G84" s="35">
        <v>564</v>
      </c>
      <c r="H84" s="36">
        <v>160000</v>
      </c>
    </row>
    <row r="85" spans="1:8" x14ac:dyDescent="0.35">
      <c r="A85">
        <v>84</v>
      </c>
      <c r="B85" t="s">
        <v>990</v>
      </c>
      <c r="C85" s="35" t="s">
        <v>545</v>
      </c>
      <c r="D85" s="37" t="s">
        <v>14</v>
      </c>
      <c r="E85" s="37" t="s">
        <v>441</v>
      </c>
      <c r="F85" s="37" t="s">
        <v>19</v>
      </c>
      <c r="G85" s="35">
        <v>247</v>
      </c>
      <c r="H85" s="36">
        <v>160000</v>
      </c>
    </row>
    <row r="86" spans="1:8" x14ac:dyDescent="0.35">
      <c r="A86">
        <v>85</v>
      </c>
      <c r="B86" t="s">
        <v>991</v>
      </c>
      <c r="C86" s="35" t="s">
        <v>546</v>
      </c>
      <c r="D86" s="37" t="s">
        <v>407</v>
      </c>
      <c r="E86" s="37" t="s">
        <v>30</v>
      </c>
      <c r="F86" s="37" t="s">
        <v>20</v>
      </c>
      <c r="G86" s="35">
        <v>846</v>
      </c>
      <c r="H86" s="36">
        <v>119000</v>
      </c>
    </row>
    <row r="87" spans="1:8" x14ac:dyDescent="0.35">
      <c r="A87">
        <v>86</v>
      </c>
      <c r="B87" t="s">
        <v>991</v>
      </c>
      <c r="C87" s="35" t="s">
        <v>547</v>
      </c>
      <c r="D87" s="37" t="s">
        <v>407</v>
      </c>
      <c r="E87" s="37" t="s">
        <v>30</v>
      </c>
      <c r="F87" s="37" t="s">
        <v>11</v>
      </c>
      <c r="G87" s="35">
        <v>559</v>
      </c>
      <c r="H87" s="36">
        <v>119000</v>
      </c>
    </row>
    <row r="88" spans="1:8" x14ac:dyDescent="0.35">
      <c r="A88">
        <v>87</v>
      </c>
      <c r="B88" t="s">
        <v>991</v>
      </c>
      <c r="C88" s="35" t="s">
        <v>548</v>
      </c>
      <c r="D88" s="37" t="s">
        <v>407</v>
      </c>
      <c r="E88" s="37" t="s">
        <v>30</v>
      </c>
      <c r="F88" s="37" t="s">
        <v>15</v>
      </c>
      <c r="G88" s="35">
        <v>863</v>
      </c>
      <c r="H88" s="36">
        <v>119000</v>
      </c>
    </row>
    <row r="89" spans="1:8" x14ac:dyDescent="0.35">
      <c r="A89">
        <v>88</v>
      </c>
      <c r="B89" t="s">
        <v>991</v>
      </c>
      <c r="C89" s="35" t="s">
        <v>549</v>
      </c>
      <c r="D89" s="37" t="s">
        <v>407</v>
      </c>
      <c r="E89" s="37" t="s">
        <v>30</v>
      </c>
      <c r="F89" s="37" t="s">
        <v>12</v>
      </c>
      <c r="G89" s="35">
        <v>781</v>
      </c>
      <c r="H89" s="36">
        <v>119000</v>
      </c>
    </row>
    <row r="90" spans="1:8" x14ac:dyDescent="0.35">
      <c r="A90">
        <v>89</v>
      </c>
      <c r="B90" t="s">
        <v>991</v>
      </c>
      <c r="C90" s="35" t="s">
        <v>550</v>
      </c>
      <c r="D90" s="37" t="s">
        <v>407</v>
      </c>
      <c r="E90" s="37" t="s">
        <v>30</v>
      </c>
      <c r="F90" s="37" t="s">
        <v>19</v>
      </c>
      <c r="G90" s="35">
        <v>429</v>
      </c>
      <c r="H90" s="36">
        <v>119000</v>
      </c>
    </row>
    <row r="91" spans="1:8" x14ac:dyDescent="0.35">
      <c r="A91">
        <v>90</v>
      </c>
      <c r="B91" t="s">
        <v>991</v>
      </c>
      <c r="C91" s="35" t="s">
        <v>551</v>
      </c>
      <c r="D91" s="37" t="s">
        <v>407</v>
      </c>
      <c r="E91" s="37" t="s">
        <v>442</v>
      </c>
      <c r="F91" s="37" t="s">
        <v>20</v>
      </c>
      <c r="G91" s="35">
        <v>37</v>
      </c>
      <c r="H91" s="36">
        <v>119000</v>
      </c>
    </row>
    <row r="92" spans="1:8" x14ac:dyDescent="0.35">
      <c r="A92">
        <v>91</v>
      </c>
      <c r="B92" t="s">
        <v>991</v>
      </c>
      <c r="C92" s="35" t="s">
        <v>552</v>
      </c>
      <c r="D92" s="37" t="s">
        <v>407</v>
      </c>
      <c r="E92" s="37" t="s">
        <v>442</v>
      </c>
      <c r="F92" s="37" t="s">
        <v>11</v>
      </c>
      <c r="G92" s="35">
        <v>10</v>
      </c>
      <c r="H92" s="36">
        <v>119000</v>
      </c>
    </row>
    <row r="93" spans="1:8" x14ac:dyDescent="0.35">
      <c r="A93">
        <v>92</v>
      </c>
      <c r="B93" t="s">
        <v>991</v>
      </c>
      <c r="C93" s="35" t="s">
        <v>553</v>
      </c>
      <c r="D93" s="37" t="s">
        <v>407</v>
      </c>
      <c r="E93" s="37" t="s">
        <v>442</v>
      </c>
      <c r="F93" s="37" t="s">
        <v>15</v>
      </c>
      <c r="G93" s="35">
        <v>876</v>
      </c>
      <c r="H93" s="36">
        <v>119000</v>
      </c>
    </row>
    <row r="94" spans="1:8" x14ac:dyDescent="0.35">
      <c r="A94">
        <v>93</v>
      </c>
      <c r="B94" t="s">
        <v>991</v>
      </c>
      <c r="C94" s="35" t="s">
        <v>554</v>
      </c>
      <c r="D94" s="37" t="s">
        <v>407</v>
      </c>
      <c r="E94" s="37" t="s">
        <v>442</v>
      </c>
      <c r="F94" s="37" t="s">
        <v>12</v>
      </c>
      <c r="G94" s="35">
        <v>202</v>
      </c>
      <c r="H94" s="36">
        <v>119000</v>
      </c>
    </row>
    <row r="95" spans="1:8" x14ac:dyDescent="0.35">
      <c r="A95">
        <v>94</v>
      </c>
      <c r="B95" t="s">
        <v>991</v>
      </c>
      <c r="C95" s="35" t="s">
        <v>555</v>
      </c>
      <c r="D95" s="37" t="s">
        <v>407</v>
      </c>
      <c r="E95" s="37" t="s">
        <v>442</v>
      </c>
      <c r="F95" s="37" t="s">
        <v>19</v>
      </c>
      <c r="G95" s="35">
        <v>912</v>
      </c>
      <c r="H95" s="36">
        <v>119000</v>
      </c>
    </row>
    <row r="96" spans="1:8" x14ac:dyDescent="0.35">
      <c r="A96">
        <v>95</v>
      </c>
      <c r="B96" t="s">
        <v>991</v>
      </c>
      <c r="C96" s="35" t="s">
        <v>556</v>
      </c>
      <c r="D96" s="37" t="s">
        <v>411</v>
      </c>
      <c r="E96" s="37" t="s">
        <v>8</v>
      </c>
      <c r="F96" s="37" t="s">
        <v>20</v>
      </c>
      <c r="G96" s="35">
        <v>860</v>
      </c>
      <c r="H96" s="36">
        <v>119000</v>
      </c>
    </row>
    <row r="97" spans="1:8" x14ac:dyDescent="0.35">
      <c r="A97">
        <v>96</v>
      </c>
      <c r="B97" t="s">
        <v>991</v>
      </c>
      <c r="C97" s="35" t="s">
        <v>557</v>
      </c>
      <c r="D97" s="37" t="s">
        <v>411</v>
      </c>
      <c r="E97" s="37" t="s">
        <v>8</v>
      </c>
      <c r="F97" s="37" t="s">
        <v>11</v>
      </c>
      <c r="G97" s="35">
        <v>739</v>
      </c>
      <c r="H97" s="36">
        <v>119000</v>
      </c>
    </row>
    <row r="98" spans="1:8" x14ac:dyDescent="0.35">
      <c r="A98">
        <v>97</v>
      </c>
      <c r="B98" t="s">
        <v>991</v>
      </c>
      <c r="C98" s="35" t="s">
        <v>558</v>
      </c>
      <c r="D98" s="37" t="s">
        <v>411</v>
      </c>
      <c r="E98" s="37" t="s">
        <v>8</v>
      </c>
      <c r="F98" s="37" t="s">
        <v>15</v>
      </c>
      <c r="G98" s="35">
        <v>339</v>
      </c>
      <c r="H98" s="36">
        <v>119000</v>
      </c>
    </row>
    <row r="99" spans="1:8" x14ac:dyDescent="0.35">
      <c r="A99">
        <v>98</v>
      </c>
      <c r="B99" t="s">
        <v>991</v>
      </c>
      <c r="C99" s="35" t="s">
        <v>559</v>
      </c>
      <c r="D99" s="37" t="s">
        <v>411</v>
      </c>
      <c r="E99" s="37" t="s">
        <v>8</v>
      </c>
      <c r="F99" s="37" t="s">
        <v>12</v>
      </c>
      <c r="G99" s="35">
        <v>191</v>
      </c>
      <c r="H99" s="36">
        <v>119000</v>
      </c>
    </row>
    <row r="100" spans="1:8" x14ac:dyDescent="0.35">
      <c r="A100">
        <v>99</v>
      </c>
      <c r="B100" t="s">
        <v>991</v>
      </c>
      <c r="C100" s="35" t="s">
        <v>560</v>
      </c>
      <c r="D100" s="37" t="s">
        <v>411</v>
      </c>
      <c r="E100" s="37" t="s">
        <v>8</v>
      </c>
      <c r="F100" s="37" t="s">
        <v>19</v>
      </c>
      <c r="G100" s="35">
        <v>677</v>
      </c>
      <c r="H100" s="36">
        <v>119000</v>
      </c>
    </row>
    <row r="101" spans="1:8" x14ac:dyDescent="0.35">
      <c r="A101">
        <v>100</v>
      </c>
      <c r="B101" t="s">
        <v>991</v>
      </c>
      <c r="C101" s="35" t="s">
        <v>561</v>
      </c>
      <c r="D101" s="37" t="s">
        <v>411</v>
      </c>
      <c r="E101" s="37" t="s">
        <v>443</v>
      </c>
      <c r="F101" s="37" t="s">
        <v>20</v>
      </c>
      <c r="G101" s="35">
        <v>631</v>
      </c>
      <c r="H101" s="36">
        <v>119000</v>
      </c>
    </row>
    <row r="102" spans="1:8" x14ac:dyDescent="0.35">
      <c r="A102">
        <v>101</v>
      </c>
      <c r="B102" t="s">
        <v>991</v>
      </c>
      <c r="C102" s="35" t="s">
        <v>562</v>
      </c>
      <c r="D102" s="37" t="s">
        <v>411</v>
      </c>
      <c r="E102" s="37" t="s">
        <v>443</v>
      </c>
      <c r="F102" s="37" t="s">
        <v>11</v>
      </c>
      <c r="G102" s="35">
        <v>556</v>
      </c>
      <c r="H102" s="36">
        <v>119000</v>
      </c>
    </row>
    <row r="103" spans="1:8" x14ac:dyDescent="0.35">
      <c r="A103">
        <v>102</v>
      </c>
      <c r="B103" t="s">
        <v>991</v>
      </c>
      <c r="C103" s="35" t="s">
        <v>563</v>
      </c>
      <c r="D103" s="37" t="s">
        <v>411</v>
      </c>
      <c r="E103" s="37" t="s">
        <v>443</v>
      </c>
      <c r="F103" s="37" t="s">
        <v>15</v>
      </c>
      <c r="G103" s="35">
        <v>912</v>
      </c>
      <c r="H103" s="36">
        <v>119000</v>
      </c>
    </row>
    <row r="104" spans="1:8" x14ac:dyDescent="0.35">
      <c r="A104">
        <v>103</v>
      </c>
      <c r="B104" t="s">
        <v>991</v>
      </c>
      <c r="C104" s="35" t="s">
        <v>564</v>
      </c>
      <c r="D104" s="37" t="s">
        <v>411</v>
      </c>
      <c r="E104" s="37" t="s">
        <v>443</v>
      </c>
      <c r="F104" s="37" t="s">
        <v>12</v>
      </c>
      <c r="G104" s="35">
        <v>837</v>
      </c>
      <c r="H104" s="36">
        <v>119000</v>
      </c>
    </row>
    <row r="105" spans="1:8" x14ac:dyDescent="0.35">
      <c r="A105">
        <v>104</v>
      </c>
      <c r="B105" t="s">
        <v>991</v>
      </c>
      <c r="C105" s="35" t="s">
        <v>565</v>
      </c>
      <c r="D105" s="37" t="s">
        <v>411</v>
      </c>
      <c r="E105" s="37" t="s">
        <v>443</v>
      </c>
      <c r="F105" s="37" t="s">
        <v>19</v>
      </c>
      <c r="G105" s="35">
        <v>397</v>
      </c>
      <c r="H105" s="36">
        <v>119000</v>
      </c>
    </row>
    <row r="106" spans="1:8" x14ac:dyDescent="0.35">
      <c r="A106">
        <v>105</v>
      </c>
      <c r="B106" t="s">
        <v>991</v>
      </c>
      <c r="C106" s="35" t="s">
        <v>566</v>
      </c>
      <c r="D106" s="37" t="s">
        <v>444</v>
      </c>
      <c r="E106" s="37" t="s">
        <v>9</v>
      </c>
      <c r="F106" s="37" t="s">
        <v>20</v>
      </c>
      <c r="G106" s="35">
        <v>292</v>
      </c>
      <c r="H106" s="36">
        <v>60000</v>
      </c>
    </row>
    <row r="107" spans="1:8" x14ac:dyDescent="0.35">
      <c r="A107">
        <v>106</v>
      </c>
      <c r="B107" t="s">
        <v>991</v>
      </c>
      <c r="C107" s="35" t="s">
        <v>567</v>
      </c>
      <c r="D107" s="37" t="s">
        <v>444</v>
      </c>
      <c r="E107" s="37" t="s">
        <v>9</v>
      </c>
      <c r="F107" s="37" t="s">
        <v>11</v>
      </c>
      <c r="G107" s="35">
        <v>174</v>
      </c>
      <c r="H107" s="36">
        <v>60000</v>
      </c>
    </row>
    <row r="108" spans="1:8" x14ac:dyDescent="0.35">
      <c r="A108">
        <v>107</v>
      </c>
      <c r="B108" t="s">
        <v>991</v>
      </c>
      <c r="C108" s="35" t="s">
        <v>568</v>
      </c>
      <c r="D108" s="37" t="s">
        <v>444</v>
      </c>
      <c r="E108" s="37" t="s">
        <v>9</v>
      </c>
      <c r="F108" s="37" t="s">
        <v>15</v>
      </c>
      <c r="G108" s="35">
        <v>975</v>
      </c>
      <c r="H108" s="36">
        <v>60000</v>
      </c>
    </row>
    <row r="109" spans="1:8" x14ac:dyDescent="0.35">
      <c r="A109">
        <v>108</v>
      </c>
      <c r="B109" t="s">
        <v>991</v>
      </c>
      <c r="C109" s="35" t="s">
        <v>569</v>
      </c>
      <c r="D109" s="37" t="s">
        <v>444</v>
      </c>
      <c r="E109" s="37" t="s">
        <v>9</v>
      </c>
      <c r="F109" s="37" t="s">
        <v>12</v>
      </c>
      <c r="G109" s="35">
        <v>910</v>
      </c>
      <c r="H109" s="36">
        <v>60000</v>
      </c>
    </row>
    <row r="110" spans="1:8" x14ac:dyDescent="0.35">
      <c r="A110">
        <v>109</v>
      </c>
      <c r="B110" t="s">
        <v>991</v>
      </c>
      <c r="C110" s="35" t="s">
        <v>570</v>
      </c>
      <c r="D110" s="37" t="s">
        <v>444</v>
      </c>
      <c r="E110" s="37" t="s">
        <v>9</v>
      </c>
      <c r="F110" s="37" t="s">
        <v>19</v>
      </c>
      <c r="G110" s="35">
        <v>701</v>
      </c>
      <c r="H110" s="36">
        <v>60000</v>
      </c>
    </row>
    <row r="111" spans="1:8" x14ac:dyDescent="0.35">
      <c r="A111">
        <v>110</v>
      </c>
      <c r="B111" t="s">
        <v>991</v>
      </c>
      <c r="C111" s="35" t="s">
        <v>571</v>
      </c>
      <c r="D111" s="37" t="s">
        <v>444</v>
      </c>
      <c r="E111" s="37" t="s">
        <v>8</v>
      </c>
      <c r="F111" s="37" t="s">
        <v>20</v>
      </c>
      <c r="G111" s="35">
        <v>498</v>
      </c>
      <c r="H111" s="36">
        <v>60000</v>
      </c>
    </row>
    <row r="112" spans="1:8" x14ac:dyDescent="0.35">
      <c r="A112">
        <v>111</v>
      </c>
      <c r="B112" t="s">
        <v>991</v>
      </c>
      <c r="C112" s="35" t="s">
        <v>572</v>
      </c>
      <c r="D112" s="37" t="s">
        <v>444</v>
      </c>
      <c r="E112" s="37" t="s">
        <v>8</v>
      </c>
      <c r="F112" s="37" t="s">
        <v>11</v>
      </c>
      <c r="G112" s="35">
        <v>848</v>
      </c>
      <c r="H112" s="36">
        <v>60000</v>
      </c>
    </row>
    <row r="113" spans="1:8" x14ac:dyDescent="0.35">
      <c r="A113">
        <v>112</v>
      </c>
      <c r="B113" t="s">
        <v>991</v>
      </c>
      <c r="C113" s="35" t="s">
        <v>573</v>
      </c>
      <c r="D113" s="37" t="s">
        <v>444</v>
      </c>
      <c r="E113" s="37" t="s">
        <v>8</v>
      </c>
      <c r="F113" s="37" t="s">
        <v>15</v>
      </c>
      <c r="G113" s="35">
        <v>213</v>
      </c>
      <c r="H113" s="36">
        <v>60000</v>
      </c>
    </row>
    <row r="114" spans="1:8" x14ac:dyDescent="0.35">
      <c r="A114">
        <v>113</v>
      </c>
      <c r="B114" t="s">
        <v>991</v>
      </c>
      <c r="C114" s="35" t="s">
        <v>574</v>
      </c>
      <c r="D114" s="37" t="s">
        <v>444</v>
      </c>
      <c r="E114" s="37" t="s">
        <v>8</v>
      </c>
      <c r="F114" s="37" t="s">
        <v>12</v>
      </c>
      <c r="G114" s="35">
        <v>73</v>
      </c>
      <c r="H114" s="36">
        <v>60000</v>
      </c>
    </row>
    <row r="115" spans="1:8" x14ac:dyDescent="0.35">
      <c r="A115">
        <v>114</v>
      </c>
      <c r="B115" t="s">
        <v>991</v>
      </c>
      <c r="C115" s="35" t="s">
        <v>575</v>
      </c>
      <c r="D115" s="37" t="s">
        <v>444</v>
      </c>
      <c r="E115" s="37" t="s">
        <v>8</v>
      </c>
      <c r="F115" s="37" t="s">
        <v>19</v>
      </c>
      <c r="G115" s="35">
        <v>946</v>
      </c>
      <c r="H115" s="36">
        <v>60000</v>
      </c>
    </row>
    <row r="116" spans="1:8" x14ac:dyDescent="0.35">
      <c r="A116">
        <v>115</v>
      </c>
      <c r="B116" t="s">
        <v>992</v>
      </c>
      <c r="C116" s="65" t="s">
        <v>576</v>
      </c>
      <c r="D116" s="66" t="s">
        <v>413</v>
      </c>
      <c r="E116" s="66" t="s">
        <v>8</v>
      </c>
      <c r="F116" s="66" t="s">
        <v>20</v>
      </c>
      <c r="G116" s="65">
        <v>250</v>
      </c>
      <c r="H116" s="67">
        <v>155000</v>
      </c>
    </row>
    <row r="117" spans="1:8" x14ac:dyDescent="0.35">
      <c r="A117">
        <v>116</v>
      </c>
      <c r="B117" t="s">
        <v>992</v>
      </c>
      <c r="C117" s="65" t="s">
        <v>577</v>
      </c>
      <c r="D117" s="66" t="s">
        <v>413</v>
      </c>
      <c r="E117" s="66" t="s">
        <v>8</v>
      </c>
      <c r="F117" s="66" t="s">
        <v>11</v>
      </c>
      <c r="G117" s="65">
        <v>70</v>
      </c>
      <c r="H117" s="67">
        <v>155000</v>
      </c>
    </row>
    <row r="118" spans="1:8" x14ac:dyDescent="0.35">
      <c r="A118">
        <v>117</v>
      </c>
      <c r="B118" t="s">
        <v>992</v>
      </c>
      <c r="C118" s="65" t="s">
        <v>578</v>
      </c>
      <c r="D118" s="66" t="s">
        <v>413</v>
      </c>
      <c r="E118" s="66" t="s">
        <v>8</v>
      </c>
      <c r="F118" s="66" t="s">
        <v>15</v>
      </c>
      <c r="G118" s="65">
        <v>204</v>
      </c>
      <c r="H118" s="67">
        <v>155000</v>
      </c>
    </row>
    <row r="119" spans="1:8" x14ac:dyDescent="0.35">
      <c r="A119">
        <v>118</v>
      </c>
      <c r="B119" t="s">
        <v>992</v>
      </c>
      <c r="C119" s="65" t="s">
        <v>579</v>
      </c>
      <c r="D119" s="66" t="s">
        <v>413</v>
      </c>
      <c r="E119" s="66" t="s">
        <v>445</v>
      </c>
      <c r="F119" s="66" t="s">
        <v>20</v>
      </c>
      <c r="G119" s="65">
        <v>123</v>
      </c>
      <c r="H119" s="67">
        <v>155000</v>
      </c>
    </row>
    <row r="120" spans="1:8" x14ac:dyDescent="0.35">
      <c r="A120">
        <v>119</v>
      </c>
      <c r="B120" t="s">
        <v>992</v>
      </c>
      <c r="C120" s="65" t="s">
        <v>580</v>
      </c>
      <c r="D120" s="66" t="s">
        <v>413</v>
      </c>
      <c r="E120" s="66" t="s">
        <v>445</v>
      </c>
      <c r="F120" s="66" t="s">
        <v>11</v>
      </c>
      <c r="G120" s="65">
        <v>110</v>
      </c>
      <c r="H120" s="67">
        <v>155000</v>
      </c>
    </row>
    <row r="121" spans="1:8" x14ac:dyDescent="0.35">
      <c r="A121">
        <v>120</v>
      </c>
      <c r="B121" t="s">
        <v>992</v>
      </c>
      <c r="C121" s="65" t="s">
        <v>581</v>
      </c>
      <c r="D121" s="66" t="s">
        <v>413</v>
      </c>
      <c r="E121" s="66" t="s">
        <v>445</v>
      </c>
      <c r="F121" s="66" t="s">
        <v>15</v>
      </c>
      <c r="G121" s="65">
        <v>240</v>
      </c>
      <c r="H121" s="67">
        <v>155000</v>
      </c>
    </row>
    <row r="122" spans="1:8" x14ac:dyDescent="0.35">
      <c r="A122">
        <v>121</v>
      </c>
      <c r="B122" t="s">
        <v>992</v>
      </c>
      <c r="C122" s="65" t="s">
        <v>582</v>
      </c>
      <c r="D122" s="66" t="s">
        <v>417</v>
      </c>
      <c r="E122" s="66" t="s">
        <v>8</v>
      </c>
      <c r="F122" s="66" t="s">
        <v>20</v>
      </c>
      <c r="G122" s="65">
        <v>110</v>
      </c>
      <c r="H122" s="67">
        <v>155000</v>
      </c>
    </row>
    <row r="123" spans="1:8" x14ac:dyDescent="0.35">
      <c r="A123">
        <v>122</v>
      </c>
      <c r="B123" t="s">
        <v>992</v>
      </c>
      <c r="C123" s="65" t="s">
        <v>583</v>
      </c>
      <c r="D123" s="66" t="s">
        <v>417</v>
      </c>
      <c r="E123" s="66" t="s">
        <v>8</v>
      </c>
      <c r="F123" s="66" t="s">
        <v>11</v>
      </c>
      <c r="G123" s="65">
        <v>172</v>
      </c>
      <c r="H123" s="67">
        <v>155000</v>
      </c>
    </row>
    <row r="124" spans="1:8" x14ac:dyDescent="0.35">
      <c r="A124">
        <v>123</v>
      </c>
      <c r="B124" t="s">
        <v>992</v>
      </c>
      <c r="C124" s="65" t="s">
        <v>584</v>
      </c>
      <c r="D124" s="66" t="s">
        <v>417</v>
      </c>
      <c r="E124" s="66" t="s">
        <v>8</v>
      </c>
      <c r="F124" s="66" t="s">
        <v>15</v>
      </c>
      <c r="G124" s="65">
        <v>234</v>
      </c>
      <c r="H124" s="67">
        <v>155000</v>
      </c>
    </row>
    <row r="125" spans="1:8" x14ac:dyDescent="0.35">
      <c r="A125">
        <v>124</v>
      </c>
      <c r="B125" t="s">
        <v>992</v>
      </c>
      <c r="C125" s="65" t="s">
        <v>585</v>
      </c>
      <c r="D125" s="66" t="s">
        <v>417</v>
      </c>
      <c r="E125" s="66" t="s">
        <v>446</v>
      </c>
      <c r="F125" s="66" t="s">
        <v>20</v>
      </c>
      <c r="G125" s="65">
        <v>200</v>
      </c>
      <c r="H125" s="67">
        <v>155000</v>
      </c>
    </row>
    <row r="126" spans="1:8" x14ac:dyDescent="0.35">
      <c r="A126">
        <v>125</v>
      </c>
      <c r="B126" t="s">
        <v>992</v>
      </c>
      <c r="C126" s="65" t="s">
        <v>586</v>
      </c>
      <c r="D126" s="66" t="s">
        <v>417</v>
      </c>
      <c r="E126" s="66" t="s">
        <v>446</v>
      </c>
      <c r="F126" s="66" t="s">
        <v>11</v>
      </c>
      <c r="G126" s="65">
        <v>250</v>
      </c>
      <c r="H126" s="67">
        <v>155000</v>
      </c>
    </row>
    <row r="127" spans="1:8" x14ac:dyDescent="0.35">
      <c r="A127">
        <v>126</v>
      </c>
      <c r="B127" t="s">
        <v>992</v>
      </c>
      <c r="C127" s="65" t="s">
        <v>587</v>
      </c>
      <c r="D127" s="66" t="s">
        <v>417</v>
      </c>
      <c r="E127" s="66" t="s">
        <v>446</v>
      </c>
      <c r="F127" s="66" t="s">
        <v>15</v>
      </c>
      <c r="G127" s="65">
        <v>123</v>
      </c>
      <c r="H127" s="67">
        <v>155000</v>
      </c>
    </row>
    <row r="128" spans="1:8" x14ac:dyDescent="0.35">
      <c r="A128">
        <v>127</v>
      </c>
      <c r="B128" t="s">
        <v>992</v>
      </c>
      <c r="C128" s="65" t="s">
        <v>588</v>
      </c>
      <c r="D128" s="66" t="s">
        <v>412</v>
      </c>
      <c r="E128" s="66" t="s">
        <v>9</v>
      </c>
      <c r="F128" s="66" t="s">
        <v>20</v>
      </c>
      <c r="G128" s="65">
        <v>200</v>
      </c>
      <c r="H128" s="67">
        <v>155000</v>
      </c>
    </row>
    <row r="129" spans="1:8" x14ac:dyDescent="0.35">
      <c r="A129">
        <v>128</v>
      </c>
      <c r="B129" t="s">
        <v>992</v>
      </c>
      <c r="C129" s="65" t="s">
        <v>589</v>
      </c>
      <c r="D129" s="66" t="s">
        <v>412</v>
      </c>
      <c r="E129" s="66" t="s">
        <v>9</v>
      </c>
      <c r="F129" s="66" t="s">
        <v>11</v>
      </c>
      <c r="G129" s="65">
        <v>245</v>
      </c>
      <c r="H129" s="67">
        <v>155000</v>
      </c>
    </row>
    <row r="130" spans="1:8" x14ac:dyDescent="0.35">
      <c r="A130">
        <v>129</v>
      </c>
      <c r="B130" t="s">
        <v>992</v>
      </c>
      <c r="C130" s="65" t="s">
        <v>590</v>
      </c>
      <c r="D130" s="66" t="s">
        <v>412</v>
      </c>
      <c r="E130" s="66" t="s">
        <v>9</v>
      </c>
      <c r="F130" s="66" t="s">
        <v>15</v>
      </c>
      <c r="G130" s="65">
        <v>243</v>
      </c>
      <c r="H130" s="67">
        <v>155000</v>
      </c>
    </row>
    <row r="131" spans="1:8" x14ac:dyDescent="0.35">
      <c r="A131">
        <v>130</v>
      </c>
      <c r="B131" t="s">
        <v>992</v>
      </c>
      <c r="C131" s="65" t="s">
        <v>591</v>
      </c>
      <c r="D131" s="66" t="s">
        <v>412</v>
      </c>
      <c r="E131" s="66" t="s">
        <v>448</v>
      </c>
      <c r="F131" s="66" t="s">
        <v>20</v>
      </c>
      <c r="G131" s="65">
        <v>153</v>
      </c>
      <c r="H131" s="67">
        <v>155000</v>
      </c>
    </row>
    <row r="132" spans="1:8" x14ac:dyDescent="0.35">
      <c r="A132">
        <v>131</v>
      </c>
      <c r="B132" t="s">
        <v>992</v>
      </c>
      <c r="C132" s="65" t="s">
        <v>592</v>
      </c>
      <c r="D132" s="66" t="s">
        <v>412</v>
      </c>
      <c r="E132" s="66" t="s">
        <v>448</v>
      </c>
      <c r="F132" s="66" t="s">
        <v>11</v>
      </c>
      <c r="G132" s="65">
        <v>240</v>
      </c>
      <c r="H132" s="67">
        <v>155000</v>
      </c>
    </row>
    <row r="133" spans="1:8" x14ac:dyDescent="0.35">
      <c r="A133">
        <v>132</v>
      </c>
      <c r="B133" t="s">
        <v>992</v>
      </c>
      <c r="C133" s="65" t="s">
        <v>593</v>
      </c>
      <c r="D133" s="66" t="s">
        <v>412</v>
      </c>
      <c r="E133" s="66" t="s">
        <v>448</v>
      </c>
      <c r="F133" s="66" t="s">
        <v>15</v>
      </c>
      <c r="G133" s="65">
        <v>300</v>
      </c>
      <c r="H133" s="67">
        <v>155000</v>
      </c>
    </row>
    <row r="134" spans="1:8" x14ac:dyDescent="0.35">
      <c r="A134">
        <v>133</v>
      </c>
      <c r="B134" t="s">
        <v>992</v>
      </c>
      <c r="C134" s="65" t="s">
        <v>594</v>
      </c>
      <c r="D134" s="66" t="s">
        <v>449</v>
      </c>
      <c r="E134" s="66" t="s">
        <v>8</v>
      </c>
      <c r="F134" s="66" t="s">
        <v>20</v>
      </c>
      <c r="G134" s="65">
        <v>220</v>
      </c>
      <c r="H134" s="67">
        <v>155000</v>
      </c>
    </row>
    <row r="135" spans="1:8" x14ac:dyDescent="0.35">
      <c r="A135">
        <v>134</v>
      </c>
      <c r="B135" t="s">
        <v>992</v>
      </c>
      <c r="C135" s="65" t="s">
        <v>595</v>
      </c>
      <c r="D135" s="66" t="s">
        <v>449</v>
      </c>
      <c r="E135" s="66" t="s">
        <v>8</v>
      </c>
      <c r="F135" s="66" t="s">
        <v>11</v>
      </c>
      <c r="G135" s="65">
        <v>300</v>
      </c>
      <c r="H135" s="67">
        <v>155000</v>
      </c>
    </row>
    <row r="136" spans="1:8" x14ac:dyDescent="0.35">
      <c r="A136">
        <v>135</v>
      </c>
      <c r="B136" t="s">
        <v>992</v>
      </c>
      <c r="C136" s="65" t="s">
        <v>596</v>
      </c>
      <c r="D136" s="66" t="s">
        <v>449</v>
      </c>
      <c r="E136" s="66" t="s">
        <v>8</v>
      </c>
      <c r="F136" s="66" t="s">
        <v>15</v>
      </c>
      <c r="G136" s="65">
        <v>200</v>
      </c>
      <c r="H136" s="67">
        <v>155000</v>
      </c>
    </row>
    <row r="137" spans="1:8" x14ac:dyDescent="0.35">
      <c r="A137">
        <v>136</v>
      </c>
      <c r="B137" t="s">
        <v>992</v>
      </c>
      <c r="C137" s="65" t="s">
        <v>597</v>
      </c>
      <c r="D137" s="66" t="s">
        <v>449</v>
      </c>
      <c r="E137" s="66" t="s">
        <v>30</v>
      </c>
      <c r="F137" s="66" t="s">
        <v>20</v>
      </c>
      <c r="G137" s="65">
        <v>340</v>
      </c>
      <c r="H137" s="67">
        <v>155000</v>
      </c>
    </row>
    <row r="138" spans="1:8" x14ac:dyDescent="0.35">
      <c r="A138">
        <v>137</v>
      </c>
      <c r="B138" t="s">
        <v>992</v>
      </c>
      <c r="C138" s="65" t="s">
        <v>598</v>
      </c>
      <c r="D138" s="66" t="s">
        <v>449</v>
      </c>
      <c r="E138" s="66" t="s">
        <v>30</v>
      </c>
      <c r="F138" s="66" t="s">
        <v>11</v>
      </c>
      <c r="G138" s="65">
        <v>283</v>
      </c>
      <c r="H138" s="67">
        <v>155000</v>
      </c>
    </row>
    <row r="139" spans="1:8" x14ac:dyDescent="0.35">
      <c r="A139">
        <v>138</v>
      </c>
      <c r="B139" t="s">
        <v>992</v>
      </c>
      <c r="C139" s="65" t="s">
        <v>599</v>
      </c>
      <c r="D139" s="66" t="s">
        <v>449</v>
      </c>
      <c r="E139" s="66" t="s">
        <v>30</v>
      </c>
      <c r="F139" s="66" t="s">
        <v>15</v>
      </c>
      <c r="G139" s="65">
        <v>190</v>
      </c>
      <c r="H139" s="67">
        <v>155000</v>
      </c>
    </row>
    <row r="140" spans="1:8" x14ac:dyDescent="0.35">
      <c r="A140">
        <v>139</v>
      </c>
      <c r="B140" t="s">
        <v>993</v>
      </c>
      <c r="C140" s="68" t="s">
        <v>600</v>
      </c>
      <c r="D140" s="69" t="s">
        <v>423</v>
      </c>
      <c r="E140" s="69" t="s">
        <v>9</v>
      </c>
      <c r="F140" s="69" t="s">
        <v>20</v>
      </c>
      <c r="G140" s="74">
        <v>220</v>
      </c>
      <c r="H140" s="70">
        <v>250000</v>
      </c>
    </row>
    <row r="141" spans="1:8" x14ac:dyDescent="0.35">
      <c r="A141">
        <v>140</v>
      </c>
      <c r="B141" t="s">
        <v>993</v>
      </c>
      <c r="C141" s="68" t="s">
        <v>601</v>
      </c>
      <c r="D141" s="69" t="s">
        <v>423</v>
      </c>
      <c r="E141" s="69" t="s">
        <v>9</v>
      </c>
      <c r="F141" s="69" t="s">
        <v>11</v>
      </c>
      <c r="G141" s="74">
        <v>168</v>
      </c>
      <c r="H141" s="70">
        <v>250000</v>
      </c>
    </row>
    <row r="142" spans="1:8" x14ac:dyDescent="0.35">
      <c r="A142">
        <v>141</v>
      </c>
      <c r="B142" t="s">
        <v>993</v>
      </c>
      <c r="C142" s="68" t="s">
        <v>602</v>
      </c>
      <c r="D142" s="69" t="s">
        <v>423</v>
      </c>
      <c r="E142" s="69" t="s">
        <v>9</v>
      </c>
      <c r="F142" s="69" t="s">
        <v>15</v>
      </c>
      <c r="G142" s="74">
        <v>191</v>
      </c>
      <c r="H142" s="70">
        <v>250000</v>
      </c>
    </row>
    <row r="143" spans="1:8" x14ac:dyDescent="0.35">
      <c r="A143">
        <v>142</v>
      </c>
      <c r="B143" t="s">
        <v>993</v>
      </c>
      <c r="C143" s="68" t="s">
        <v>603</v>
      </c>
      <c r="D143" s="69" t="s">
        <v>423</v>
      </c>
      <c r="E143" s="69" t="s">
        <v>9</v>
      </c>
      <c r="F143" s="69" t="s">
        <v>12</v>
      </c>
      <c r="G143" s="74">
        <v>200</v>
      </c>
      <c r="H143" s="70">
        <v>250000</v>
      </c>
    </row>
    <row r="144" spans="1:8" x14ac:dyDescent="0.35">
      <c r="A144">
        <v>143</v>
      </c>
      <c r="B144" t="s">
        <v>993</v>
      </c>
      <c r="C144" s="68" t="s">
        <v>604</v>
      </c>
      <c r="D144" s="69" t="s">
        <v>423</v>
      </c>
      <c r="E144" s="69" t="s">
        <v>9</v>
      </c>
      <c r="F144" s="69" t="s">
        <v>19</v>
      </c>
      <c r="G144" s="74">
        <v>109</v>
      </c>
      <c r="H144" s="70">
        <v>250000</v>
      </c>
    </row>
    <row r="145" spans="1:8" x14ac:dyDescent="0.35">
      <c r="A145">
        <v>144</v>
      </c>
      <c r="B145" t="s">
        <v>993</v>
      </c>
      <c r="C145" s="68" t="s">
        <v>605</v>
      </c>
      <c r="D145" s="69" t="s">
        <v>423</v>
      </c>
      <c r="E145" s="69" t="s">
        <v>450</v>
      </c>
      <c r="F145" s="69" t="s">
        <v>20</v>
      </c>
      <c r="G145" s="74">
        <v>282</v>
      </c>
      <c r="H145" s="70">
        <v>250000</v>
      </c>
    </row>
    <row r="146" spans="1:8" x14ac:dyDescent="0.35">
      <c r="A146">
        <v>145</v>
      </c>
      <c r="B146" t="s">
        <v>993</v>
      </c>
      <c r="C146" s="68" t="s">
        <v>606</v>
      </c>
      <c r="D146" s="69" t="s">
        <v>423</v>
      </c>
      <c r="E146" s="69" t="s">
        <v>450</v>
      </c>
      <c r="F146" s="69" t="s">
        <v>11</v>
      </c>
      <c r="G146" s="74">
        <v>320</v>
      </c>
      <c r="H146" s="70">
        <v>250000</v>
      </c>
    </row>
    <row r="147" spans="1:8" x14ac:dyDescent="0.35">
      <c r="A147">
        <v>146</v>
      </c>
      <c r="B147" t="s">
        <v>993</v>
      </c>
      <c r="C147" s="68" t="s">
        <v>607</v>
      </c>
      <c r="D147" s="69" t="s">
        <v>423</v>
      </c>
      <c r="E147" s="69" t="s">
        <v>450</v>
      </c>
      <c r="F147" s="69" t="s">
        <v>15</v>
      </c>
      <c r="G147" s="74">
        <v>170</v>
      </c>
      <c r="H147" s="70">
        <v>250000</v>
      </c>
    </row>
    <row r="148" spans="1:8" x14ac:dyDescent="0.35">
      <c r="A148">
        <v>147</v>
      </c>
      <c r="B148" t="s">
        <v>993</v>
      </c>
      <c r="C148" s="68" t="s">
        <v>608</v>
      </c>
      <c r="D148" s="69" t="s">
        <v>423</v>
      </c>
      <c r="E148" s="69" t="s">
        <v>450</v>
      </c>
      <c r="F148" s="69" t="s">
        <v>12</v>
      </c>
      <c r="G148" s="74">
        <v>316</v>
      </c>
      <c r="H148" s="70">
        <v>250000</v>
      </c>
    </row>
    <row r="149" spans="1:8" x14ac:dyDescent="0.35">
      <c r="A149">
        <v>148</v>
      </c>
      <c r="B149" t="s">
        <v>993</v>
      </c>
      <c r="C149" s="68" t="s">
        <v>609</v>
      </c>
      <c r="D149" s="69" t="s">
        <v>423</v>
      </c>
      <c r="E149" s="69" t="s">
        <v>450</v>
      </c>
      <c r="F149" s="69" t="s">
        <v>19</v>
      </c>
      <c r="G149" s="74">
        <v>170</v>
      </c>
      <c r="H149" s="70">
        <v>250000</v>
      </c>
    </row>
    <row r="150" spans="1:8" x14ac:dyDescent="0.35">
      <c r="A150">
        <v>149</v>
      </c>
      <c r="B150" t="s">
        <v>993</v>
      </c>
      <c r="C150" s="68" t="s">
        <v>610</v>
      </c>
      <c r="D150" s="69" t="s">
        <v>424</v>
      </c>
      <c r="E150" s="69" t="s">
        <v>451</v>
      </c>
      <c r="F150" s="69" t="s">
        <v>20</v>
      </c>
      <c r="G150" s="74">
        <v>303</v>
      </c>
      <c r="H150" s="70">
        <v>250000</v>
      </c>
    </row>
    <row r="151" spans="1:8" x14ac:dyDescent="0.35">
      <c r="A151">
        <v>150</v>
      </c>
      <c r="B151" t="s">
        <v>993</v>
      </c>
      <c r="C151" s="68" t="s">
        <v>611</v>
      </c>
      <c r="D151" s="69" t="s">
        <v>424</v>
      </c>
      <c r="E151" s="69" t="s">
        <v>451</v>
      </c>
      <c r="F151" s="69" t="s">
        <v>11</v>
      </c>
      <c r="G151" s="74">
        <v>202</v>
      </c>
      <c r="H151" s="70">
        <v>250000</v>
      </c>
    </row>
    <row r="152" spans="1:8" x14ac:dyDescent="0.35">
      <c r="A152">
        <v>151</v>
      </c>
      <c r="B152" t="s">
        <v>993</v>
      </c>
      <c r="C152" s="68" t="s">
        <v>612</v>
      </c>
      <c r="D152" s="69" t="s">
        <v>424</v>
      </c>
      <c r="E152" s="69" t="s">
        <v>451</v>
      </c>
      <c r="F152" s="69" t="s">
        <v>15</v>
      </c>
      <c r="G152" s="74">
        <v>351</v>
      </c>
      <c r="H152" s="70">
        <v>250000</v>
      </c>
    </row>
    <row r="153" spans="1:8" x14ac:dyDescent="0.35">
      <c r="A153">
        <v>152</v>
      </c>
      <c r="B153" t="s">
        <v>993</v>
      </c>
      <c r="C153" s="68" t="s">
        <v>613</v>
      </c>
      <c r="D153" s="69" t="s">
        <v>424</v>
      </c>
      <c r="E153" s="69" t="s">
        <v>451</v>
      </c>
      <c r="F153" s="69" t="s">
        <v>12</v>
      </c>
      <c r="G153" s="74">
        <v>187</v>
      </c>
      <c r="H153" s="70">
        <v>250000</v>
      </c>
    </row>
    <row r="154" spans="1:8" x14ac:dyDescent="0.35">
      <c r="A154">
        <v>153</v>
      </c>
      <c r="B154" t="s">
        <v>993</v>
      </c>
      <c r="C154" s="68" t="s">
        <v>614</v>
      </c>
      <c r="D154" s="69" t="s">
        <v>424</v>
      </c>
      <c r="E154" s="69" t="s">
        <v>451</v>
      </c>
      <c r="F154" s="69" t="s">
        <v>19</v>
      </c>
      <c r="G154" s="74">
        <v>270</v>
      </c>
      <c r="H154" s="70">
        <v>250000</v>
      </c>
    </row>
    <row r="155" spans="1:8" x14ac:dyDescent="0.35">
      <c r="A155">
        <v>154</v>
      </c>
      <c r="B155" t="s">
        <v>993</v>
      </c>
      <c r="C155" s="68" t="s">
        <v>615</v>
      </c>
      <c r="D155" s="69" t="s">
        <v>424</v>
      </c>
      <c r="E155" s="69" t="s">
        <v>8</v>
      </c>
      <c r="F155" s="69" t="s">
        <v>20</v>
      </c>
      <c r="G155" s="74">
        <v>150</v>
      </c>
      <c r="H155" s="70">
        <v>250000</v>
      </c>
    </row>
    <row r="156" spans="1:8" x14ac:dyDescent="0.35">
      <c r="A156">
        <v>155</v>
      </c>
      <c r="B156" t="s">
        <v>993</v>
      </c>
      <c r="C156" s="68" t="s">
        <v>616</v>
      </c>
      <c r="D156" s="69" t="s">
        <v>424</v>
      </c>
      <c r="E156" s="69" t="s">
        <v>8</v>
      </c>
      <c r="F156" s="69" t="s">
        <v>11</v>
      </c>
      <c r="G156" s="74">
        <v>186</v>
      </c>
      <c r="H156" s="70">
        <v>250000</v>
      </c>
    </row>
    <row r="157" spans="1:8" x14ac:dyDescent="0.35">
      <c r="A157">
        <v>156</v>
      </c>
      <c r="B157" t="s">
        <v>993</v>
      </c>
      <c r="C157" s="68" t="s">
        <v>617</v>
      </c>
      <c r="D157" s="69" t="s">
        <v>424</v>
      </c>
      <c r="E157" s="69" t="s">
        <v>8</v>
      </c>
      <c r="F157" s="69" t="s">
        <v>15</v>
      </c>
      <c r="G157" s="74">
        <v>394</v>
      </c>
      <c r="H157" s="70">
        <v>250000</v>
      </c>
    </row>
    <row r="158" spans="1:8" x14ac:dyDescent="0.35">
      <c r="A158">
        <v>157</v>
      </c>
      <c r="B158" t="s">
        <v>993</v>
      </c>
      <c r="C158" s="68" t="s">
        <v>618</v>
      </c>
      <c r="D158" s="69" t="s">
        <v>424</v>
      </c>
      <c r="E158" s="69" t="s">
        <v>8</v>
      </c>
      <c r="F158" s="69" t="s">
        <v>12</v>
      </c>
      <c r="G158" s="74">
        <v>200</v>
      </c>
      <c r="H158" s="70">
        <v>250000</v>
      </c>
    </row>
    <row r="159" spans="1:8" x14ac:dyDescent="0.35">
      <c r="A159">
        <v>158</v>
      </c>
      <c r="B159" t="s">
        <v>993</v>
      </c>
      <c r="C159" s="68" t="s">
        <v>619</v>
      </c>
      <c r="D159" s="69" t="s">
        <v>424</v>
      </c>
      <c r="E159" s="69" t="s">
        <v>8</v>
      </c>
      <c r="F159" s="69" t="s">
        <v>19</v>
      </c>
      <c r="G159" s="74">
        <v>278</v>
      </c>
      <c r="H159" s="70">
        <v>250000</v>
      </c>
    </row>
    <row r="160" spans="1:8" x14ac:dyDescent="0.35">
      <c r="A160">
        <v>159</v>
      </c>
      <c r="B160" t="s">
        <v>993</v>
      </c>
      <c r="C160" s="68" t="s">
        <v>620</v>
      </c>
      <c r="D160" s="69" t="s">
        <v>408</v>
      </c>
      <c r="E160" s="69" t="s">
        <v>9</v>
      </c>
      <c r="F160" s="69" t="s">
        <v>20</v>
      </c>
      <c r="G160" s="74">
        <v>154</v>
      </c>
      <c r="H160" s="70">
        <v>110000</v>
      </c>
    </row>
    <row r="161" spans="1:8" x14ac:dyDescent="0.35">
      <c r="A161">
        <v>160</v>
      </c>
      <c r="B161" t="s">
        <v>993</v>
      </c>
      <c r="C161" s="68" t="s">
        <v>621</v>
      </c>
      <c r="D161" s="69" t="s">
        <v>408</v>
      </c>
      <c r="E161" s="69" t="s">
        <v>9</v>
      </c>
      <c r="F161" s="69" t="s">
        <v>11</v>
      </c>
      <c r="G161" s="74">
        <v>168</v>
      </c>
      <c r="H161" s="70">
        <v>110000</v>
      </c>
    </row>
    <row r="162" spans="1:8" x14ac:dyDescent="0.35">
      <c r="A162">
        <v>161</v>
      </c>
      <c r="B162" t="s">
        <v>993</v>
      </c>
      <c r="C162" s="68" t="s">
        <v>622</v>
      </c>
      <c r="D162" s="69" t="s">
        <v>408</v>
      </c>
      <c r="E162" s="69" t="s">
        <v>9</v>
      </c>
      <c r="F162" s="69" t="s">
        <v>15</v>
      </c>
      <c r="G162" s="74">
        <v>182</v>
      </c>
      <c r="H162" s="70">
        <v>110000</v>
      </c>
    </row>
    <row r="163" spans="1:8" x14ac:dyDescent="0.35">
      <c r="A163">
        <v>162</v>
      </c>
      <c r="B163" t="s">
        <v>993</v>
      </c>
      <c r="C163" s="68" t="s">
        <v>623</v>
      </c>
      <c r="D163" s="69" t="s">
        <v>408</v>
      </c>
      <c r="E163" s="69" t="s">
        <v>9</v>
      </c>
      <c r="F163" s="69" t="s">
        <v>12</v>
      </c>
      <c r="G163" s="74">
        <v>204</v>
      </c>
      <c r="H163" s="70">
        <v>110000</v>
      </c>
    </row>
    <row r="164" spans="1:8" x14ac:dyDescent="0.35">
      <c r="A164">
        <v>163</v>
      </c>
      <c r="B164" t="s">
        <v>993</v>
      </c>
      <c r="C164" s="68" t="s">
        <v>624</v>
      </c>
      <c r="D164" s="69" t="s">
        <v>408</v>
      </c>
      <c r="E164" s="69" t="s">
        <v>9</v>
      </c>
      <c r="F164" s="69" t="s">
        <v>19</v>
      </c>
      <c r="G164" s="74">
        <v>307</v>
      </c>
      <c r="H164" s="70">
        <v>110000</v>
      </c>
    </row>
    <row r="165" spans="1:8" x14ac:dyDescent="0.35">
      <c r="A165">
        <v>164</v>
      </c>
      <c r="B165" t="s">
        <v>993</v>
      </c>
      <c r="C165" s="68" t="s">
        <v>625</v>
      </c>
      <c r="D165" s="69" t="s">
        <v>408</v>
      </c>
      <c r="E165" s="69" t="s">
        <v>8</v>
      </c>
      <c r="F165" s="69" t="s">
        <v>20</v>
      </c>
      <c r="G165" s="74">
        <v>351</v>
      </c>
      <c r="H165" s="70">
        <v>110000</v>
      </c>
    </row>
    <row r="166" spans="1:8" x14ac:dyDescent="0.35">
      <c r="A166">
        <v>165</v>
      </c>
      <c r="B166" t="s">
        <v>993</v>
      </c>
      <c r="C166" s="68" t="s">
        <v>626</v>
      </c>
      <c r="D166" s="69" t="s">
        <v>408</v>
      </c>
      <c r="E166" s="69" t="s">
        <v>8</v>
      </c>
      <c r="F166" s="69" t="s">
        <v>11</v>
      </c>
      <c r="G166" s="74">
        <v>196</v>
      </c>
      <c r="H166" s="70">
        <v>110000</v>
      </c>
    </row>
    <row r="167" spans="1:8" x14ac:dyDescent="0.35">
      <c r="A167">
        <v>166</v>
      </c>
      <c r="B167" t="s">
        <v>993</v>
      </c>
      <c r="C167" s="68" t="s">
        <v>627</v>
      </c>
      <c r="D167" s="69" t="s">
        <v>408</v>
      </c>
      <c r="E167" s="69" t="s">
        <v>8</v>
      </c>
      <c r="F167" s="69" t="s">
        <v>15</v>
      </c>
      <c r="G167" s="74">
        <v>341</v>
      </c>
      <c r="H167" s="70">
        <v>110000</v>
      </c>
    </row>
    <row r="168" spans="1:8" x14ac:dyDescent="0.35">
      <c r="A168">
        <v>167</v>
      </c>
      <c r="B168" t="s">
        <v>993</v>
      </c>
      <c r="C168" s="68" t="s">
        <v>628</v>
      </c>
      <c r="D168" s="69" t="s">
        <v>408</v>
      </c>
      <c r="E168" s="69" t="s">
        <v>8</v>
      </c>
      <c r="F168" s="69" t="s">
        <v>12</v>
      </c>
      <c r="G168" s="74">
        <v>110</v>
      </c>
      <c r="H168" s="70">
        <v>110000</v>
      </c>
    </row>
    <row r="169" spans="1:8" x14ac:dyDescent="0.35">
      <c r="A169">
        <v>168</v>
      </c>
      <c r="B169" t="s">
        <v>993</v>
      </c>
      <c r="C169" s="68" t="s">
        <v>629</v>
      </c>
      <c r="D169" s="69" t="s">
        <v>408</v>
      </c>
      <c r="E169" s="69" t="s">
        <v>8</v>
      </c>
      <c r="F169" s="69" t="s">
        <v>19</v>
      </c>
      <c r="G169" s="74">
        <v>320</v>
      </c>
      <c r="H169" s="70">
        <v>110000</v>
      </c>
    </row>
    <row r="170" spans="1:8" x14ac:dyDescent="0.35">
      <c r="A170">
        <v>169</v>
      </c>
      <c r="B170" t="s">
        <v>994</v>
      </c>
      <c r="C170" s="35" t="s">
        <v>630</v>
      </c>
      <c r="D170" s="37" t="s">
        <v>409</v>
      </c>
      <c r="E170" s="37" t="s">
        <v>32</v>
      </c>
      <c r="F170" s="37" t="s">
        <v>20</v>
      </c>
      <c r="G170" s="35">
        <v>433</v>
      </c>
      <c r="H170" s="36">
        <v>110000</v>
      </c>
    </row>
    <row r="171" spans="1:8" x14ac:dyDescent="0.35">
      <c r="A171">
        <v>170</v>
      </c>
      <c r="B171" t="s">
        <v>994</v>
      </c>
      <c r="C171" s="35" t="s">
        <v>631</v>
      </c>
      <c r="D171" s="37" t="s">
        <v>409</v>
      </c>
      <c r="E171" s="37" t="s">
        <v>32</v>
      </c>
      <c r="F171" s="37" t="s">
        <v>11</v>
      </c>
      <c r="G171" s="35">
        <v>541</v>
      </c>
      <c r="H171" s="36">
        <v>110000</v>
      </c>
    </row>
    <row r="172" spans="1:8" x14ac:dyDescent="0.35">
      <c r="A172">
        <v>171</v>
      </c>
      <c r="B172" t="s">
        <v>994</v>
      </c>
      <c r="C172" s="35" t="s">
        <v>632</v>
      </c>
      <c r="D172" s="37" t="s">
        <v>409</v>
      </c>
      <c r="E172" s="37" t="s">
        <v>32</v>
      </c>
      <c r="F172" s="37" t="s">
        <v>15</v>
      </c>
      <c r="G172" s="35">
        <v>627</v>
      </c>
      <c r="H172" s="36">
        <v>110000</v>
      </c>
    </row>
    <row r="173" spans="1:8" x14ac:dyDescent="0.35">
      <c r="A173">
        <v>172</v>
      </c>
      <c r="B173" t="s">
        <v>994</v>
      </c>
      <c r="C173" s="35" t="s">
        <v>633</v>
      </c>
      <c r="D173" s="37" t="s">
        <v>409</v>
      </c>
      <c r="E173" s="37" t="s">
        <v>32</v>
      </c>
      <c r="F173" s="37" t="s">
        <v>12</v>
      </c>
      <c r="G173" s="35">
        <v>340</v>
      </c>
      <c r="H173" s="36">
        <v>110000</v>
      </c>
    </row>
    <row r="174" spans="1:8" x14ac:dyDescent="0.35">
      <c r="A174">
        <v>173</v>
      </c>
      <c r="B174" t="s">
        <v>994</v>
      </c>
      <c r="C174" s="35" t="s">
        <v>634</v>
      </c>
      <c r="D174" s="37" t="s">
        <v>409</v>
      </c>
      <c r="E174" s="37" t="s">
        <v>32</v>
      </c>
      <c r="F174" s="37" t="s">
        <v>19</v>
      </c>
      <c r="G174" s="35">
        <v>357</v>
      </c>
      <c r="H174" s="36">
        <v>110000</v>
      </c>
    </row>
    <row r="175" spans="1:8" x14ac:dyDescent="0.35">
      <c r="A175">
        <v>174</v>
      </c>
      <c r="B175" t="s">
        <v>994</v>
      </c>
      <c r="C175" s="35" t="s">
        <v>635</v>
      </c>
      <c r="D175" s="37" t="s">
        <v>409</v>
      </c>
      <c r="E175" s="37" t="s">
        <v>8</v>
      </c>
      <c r="F175" s="37" t="s">
        <v>20</v>
      </c>
      <c r="G175" s="35">
        <v>564</v>
      </c>
      <c r="H175" s="36">
        <v>110000</v>
      </c>
    </row>
    <row r="176" spans="1:8" x14ac:dyDescent="0.35">
      <c r="A176">
        <v>175</v>
      </c>
      <c r="B176" t="s">
        <v>994</v>
      </c>
      <c r="C176" s="35" t="s">
        <v>636</v>
      </c>
      <c r="D176" s="37" t="s">
        <v>409</v>
      </c>
      <c r="E176" s="37" t="s">
        <v>8</v>
      </c>
      <c r="F176" s="37" t="s">
        <v>11</v>
      </c>
      <c r="G176" s="35">
        <v>206</v>
      </c>
      <c r="H176" s="36">
        <v>110000</v>
      </c>
    </row>
    <row r="177" spans="1:8" x14ac:dyDescent="0.35">
      <c r="A177">
        <v>176</v>
      </c>
      <c r="B177" t="s">
        <v>994</v>
      </c>
      <c r="C177" s="35" t="s">
        <v>637</v>
      </c>
      <c r="D177" s="37" t="s">
        <v>409</v>
      </c>
      <c r="E177" s="37" t="s">
        <v>8</v>
      </c>
      <c r="F177" s="37" t="s">
        <v>15</v>
      </c>
      <c r="G177" s="35">
        <v>743</v>
      </c>
      <c r="H177" s="36">
        <v>110000</v>
      </c>
    </row>
    <row r="178" spans="1:8" x14ac:dyDescent="0.35">
      <c r="A178">
        <v>177</v>
      </c>
      <c r="B178" t="s">
        <v>994</v>
      </c>
      <c r="C178" s="35" t="s">
        <v>638</v>
      </c>
      <c r="D178" s="37" t="s">
        <v>409</v>
      </c>
      <c r="E178" s="37" t="s">
        <v>8</v>
      </c>
      <c r="F178" s="37" t="s">
        <v>12</v>
      </c>
      <c r="G178" s="35">
        <v>112</v>
      </c>
      <c r="H178" s="36">
        <v>110000</v>
      </c>
    </row>
    <row r="179" spans="1:8" x14ac:dyDescent="0.35">
      <c r="A179">
        <v>178</v>
      </c>
      <c r="B179" t="s">
        <v>994</v>
      </c>
      <c r="C179" s="35" t="s">
        <v>639</v>
      </c>
      <c r="D179" s="37" t="s">
        <v>409</v>
      </c>
      <c r="E179" s="37" t="s">
        <v>8</v>
      </c>
      <c r="F179" s="37" t="s">
        <v>19</v>
      </c>
      <c r="G179" s="35">
        <v>691</v>
      </c>
      <c r="H179" s="36">
        <v>110000</v>
      </c>
    </row>
    <row r="180" spans="1:8" x14ac:dyDescent="0.35">
      <c r="A180">
        <v>179</v>
      </c>
      <c r="B180" t="s">
        <v>994</v>
      </c>
      <c r="C180" s="35" t="s">
        <v>640</v>
      </c>
      <c r="D180" s="37" t="s">
        <v>433</v>
      </c>
      <c r="E180" s="37" t="s">
        <v>21</v>
      </c>
      <c r="F180" s="37" t="s">
        <v>20</v>
      </c>
      <c r="G180" s="35">
        <v>479</v>
      </c>
      <c r="H180" s="36">
        <v>140000</v>
      </c>
    </row>
    <row r="181" spans="1:8" x14ac:dyDescent="0.35">
      <c r="A181">
        <v>180</v>
      </c>
      <c r="B181" t="s">
        <v>994</v>
      </c>
      <c r="C181" s="35" t="s">
        <v>641</v>
      </c>
      <c r="D181" s="37" t="s">
        <v>433</v>
      </c>
      <c r="E181" s="37" t="s">
        <v>21</v>
      </c>
      <c r="F181" s="37" t="s">
        <v>11</v>
      </c>
      <c r="G181" s="35">
        <v>785</v>
      </c>
      <c r="H181" s="36">
        <v>140000</v>
      </c>
    </row>
    <row r="182" spans="1:8" x14ac:dyDescent="0.35">
      <c r="A182">
        <v>181</v>
      </c>
      <c r="B182" t="s">
        <v>994</v>
      </c>
      <c r="C182" s="35" t="s">
        <v>642</v>
      </c>
      <c r="D182" s="37" t="s">
        <v>433</v>
      </c>
      <c r="E182" s="37" t="s">
        <v>21</v>
      </c>
      <c r="F182" s="37" t="s">
        <v>15</v>
      </c>
      <c r="G182" s="35">
        <v>376</v>
      </c>
      <c r="H182" s="36">
        <v>140000</v>
      </c>
    </row>
    <row r="183" spans="1:8" x14ac:dyDescent="0.35">
      <c r="A183">
        <v>182</v>
      </c>
      <c r="B183" t="s">
        <v>994</v>
      </c>
      <c r="C183" s="35" t="s">
        <v>643</v>
      </c>
      <c r="D183" s="37" t="s">
        <v>433</v>
      </c>
      <c r="E183" s="37" t="s">
        <v>21</v>
      </c>
      <c r="F183" s="37" t="s">
        <v>12</v>
      </c>
      <c r="G183" s="35">
        <v>181</v>
      </c>
      <c r="H183" s="36">
        <v>140000</v>
      </c>
    </row>
    <row r="184" spans="1:8" x14ac:dyDescent="0.35">
      <c r="A184">
        <v>183</v>
      </c>
      <c r="B184" t="s">
        <v>994</v>
      </c>
      <c r="C184" s="35" t="s">
        <v>644</v>
      </c>
      <c r="D184" s="37" t="s">
        <v>433</v>
      </c>
      <c r="E184" s="37" t="s">
        <v>21</v>
      </c>
      <c r="F184" s="37" t="s">
        <v>19</v>
      </c>
      <c r="G184" s="35">
        <v>405</v>
      </c>
      <c r="H184" s="36">
        <v>140000</v>
      </c>
    </row>
    <row r="185" spans="1:8" x14ac:dyDescent="0.35">
      <c r="A185">
        <v>184</v>
      </c>
      <c r="B185" t="s">
        <v>994</v>
      </c>
      <c r="C185" s="35" t="s">
        <v>645</v>
      </c>
      <c r="D185" s="37" t="s">
        <v>433</v>
      </c>
      <c r="E185" s="37" t="s">
        <v>9</v>
      </c>
      <c r="F185" s="37" t="s">
        <v>20</v>
      </c>
      <c r="G185" s="35">
        <v>456</v>
      </c>
      <c r="H185" s="36">
        <v>140000</v>
      </c>
    </row>
    <row r="186" spans="1:8" x14ac:dyDescent="0.35">
      <c r="A186">
        <v>185</v>
      </c>
      <c r="B186" t="s">
        <v>994</v>
      </c>
      <c r="C186" s="35" t="s">
        <v>646</v>
      </c>
      <c r="D186" s="37" t="s">
        <v>433</v>
      </c>
      <c r="E186" s="37" t="s">
        <v>9</v>
      </c>
      <c r="F186" s="37" t="s">
        <v>11</v>
      </c>
      <c r="G186" s="35">
        <v>213</v>
      </c>
      <c r="H186" s="36">
        <v>140000</v>
      </c>
    </row>
    <row r="187" spans="1:8" x14ac:dyDescent="0.35">
      <c r="A187">
        <v>186</v>
      </c>
      <c r="B187" t="s">
        <v>994</v>
      </c>
      <c r="C187" s="35" t="s">
        <v>647</v>
      </c>
      <c r="D187" s="37" t="s">
        <v>433</v>
      </c>
      <c r="E187" s="37" t="s">
        <v>9</v>
      </c>
      <c r="F187" s="37" t="s">
        <v>15</v>
      </c>
      <c r="G187" s="35">
        <v>306</v>
      </c>
      <c r="H187" s="36">
        <v>140000</v>
      </c>
    </row>
    <row r="188" spans="1:8" x14ac:dyDescent="0.35">
      <c r="A188">
        <v>187</v>
      </c>
      <c r="B188" t="s">
        <v>994</v>
      </c>
      <c r="C188" s="35" t="s">
        <v>648</v>
      </c>
      <c r="D188" s="37" t="s">
        <v>433</v>
      </c>
      <c r="E188" s="37" t="s">
        <v>9</v>
      </c>
      <c r="F188" s="37" t="s">
        <v>12</v>
      </c>
      <c r="G188" s="35">
        <v>561</v>
      </c>
      <c r="H188" s="36">
        <v>140000</v>
      </c>
    </row>
    <row r="189" spans="1:8" x14ac:dyDescent="0.35">
      <c r="A189">
        <v>188</v>
      </c>
      <c r="B189" t="s">
        <v>994</v>
      </c>
      <c r="C189" s="35" t="s">
        <v>649</v>
      </c>
      <c r="D189" s="37" t="s">
        <v>433</v>
      </c>
      <c r="E189" s="37" t="s">
        <v>9</v>
      </c>
      <c r="F189" s="37" t="s">
        <v>19</v>
      </c>
      <c r="G189" s="35">
        <v>842</v>
      </c>
      <c r="H189" s="36">
        <v>140000</v>
      </c>
    </row>
    <row r="190" spans="1:8" x14ac:dyDescent="0.35">
      <c r="A190">
        <v>189</v>
      </c>
      <c r="B190" t="s">
        <v>995</v>
      </c>
      <c r="C190" s="35" t="s">
        <v>650</v>
      </c>
      <c r="D190" s="37" t="s">
        <v>159</v>
      </c>
      <c r="E190" s="37" t="s">
        <v>9</v>
      </c>
      <c r="F190" s="37" t="s">
        <v>20</v>
      </c>
      <c r="G190" s="35">
        <v>893</v>
      </c>
      <c r="H190" s="36">
        <v>140000</v>
      </c>
    </row>
    <row r="191" spans="1:8" x14ac:dyDescent="0.35">
      <c r="A191">
        <v>190</v>
      </c>
      <c r="B191" t="s">
        <v>995</v>
      </c>
      <c r="C191" s="35" t="s">
        <v>651</v>
      </c>
      <c r="D191" s="37" t="s">
        <v>159</v>
      </c>
      <c r="E191" s="37" t="s">
        <v>9</v>
      </c>
      <c r="F191" s="37" t="s">
        <v>11</v>
      </c>
      <c r="G191" s="35">
        <v>898</v>
      </c>
      <c r="H191" s="36">
        <v>140000</v>
      </c>
    </row>
    <row r="192" spans="1:8" x14ac:dyDescent="0.35">
      <c r="A192">
        <v>191</v>
      </c>
      <c r="B192" t="s">
        <v>995</v>
      </c>
      <c r="C192" s="35" t="s">
        <v>652</v>
      </c>
      <c r="D192" s="37" t="s">
        <v>159</v>
      </c>
      <c r="E192" s="37" t="s">
        <v>9</v>
      </c>
      <c r="F192" s="37" t="s">
        <v>15</v>
      </c>
      <c r="G192" s="35">
        <v>400</v>
      </c>
      <c r="H192" s="36">
        <v>140000</v>
      </c>
    </row>
    <row r="193" spans="1:8" x14ac:dyDescent="0.35">
      <c r="A193">
        <v>192</v>
      </c>
      <c r="B193" t="s">
        <v>995</v>
      </c>
      <c r="C193" s="35" t="s">
        <v>653</v>
      </c>
      <c r="D193" s="37" t="s">
        <v>159</v>
      </c>
      <c r="E193" s="37" t="s">
        <v>9</v>
      </c>
      <c r="F193" s="37" t="s">
        <v>12</v>
      </c>
      <c r="G193" s="35">
        <v>948</v>
      </c>
      <c r="H193" s="36">
        <v>140000</v>
      </c>
    </row>
    <row r="194" spans="1:8" x14ac:dyDescent="0.35">
      <c r="A194">
        <v>193</v>
      </c>
      <c r="B194" t="s">
        <v>995</v>
      </c>
      <c r="C194" s="35" t="s">
        <v>654</v>
      </c>
      <c r="D194" s="37" t="s">
        <v>159</v>
      </c>
      <c r="E194" s="37" t="s">
        <v>9</v>
      </c>
      <c r="F194" s="37" t="s">
        <v>19</v>
      </c>
      <c r="G194" s="35">
        <v>694</v>
      </c>
      <c r="H194" s="36">
        <v>140000</v>
      </c>
    </row>
    <row r="195" spans="1:8" x14ac:dyDescent="0.35">
      <c r="A195">
        <v>194</v>
      </c>
      <c r="B195" t="s">
        <v>995</v>
      </c>
      <c r="C195" s="35" t="s">
        <v>655</v>
      </c>
      <c r="D195" s="37" t="s">
        <v>159</v>
      </c>
      <c r="E195" s="37" t="s">
        <v>8</v>
      </c>
      <c r="F195" s="37" t="s">
        <v>20</v>
      </c>
      <c r="G195" s="35">
        <v>792</v>
      </c>
      <c r="H195" s="36">
        <v>140000</v>
      </c>
    </row>
    <row r="196" spans="1:8" x14ac:dyDescent="0.35">
      <c r="A196">
        <v>195</v>
      </c>
      <c r="B196" t="s">
        <v>995</v>
      </c>
      <c r="C196" s="35" t="s">
        <v>656</v>
      </c>
      <c r="D196" s="37" t="s">
        <v>159</v>
      </c>
      <c r="E196" s="37" t="s">
        <v>8</v>
      </c>
      <c r="F196" s="37" t="s">
        <v>11</v>
      </c>
      <c r="G196" s="35">
        <v>781</v>
      </c>
      <c r="H196" s="36">
        <v>140000</v>
      </c>
    </row>
    <row r="197" spans="1:8" x14ac:dyDescent="0.35">
      <c r="A197">
        <v>196</v>
      </c>
      <c r="B197" t="s">
        <v>995</v>
      </c>
      <c r="C197" s="35" t="s">
        <v>657</v>
      </c>
      <c r="D197" s="37" t="s">
        <v>159</v>
      </c>
      <c r="E197" s="37" t="s">
        <v>8</v>
      </c>
      <c r="F197" s="37" t="s">
        <v>15</v>
      </c>
      <c r="G197" s="35">
        <v>40</v>
      </c>
      <c r="H197" s="36">
        <v>140000</v>
      </c>
    </row>
    <row r="198" spans="1:8" x14ac:dyDescent="0.35">
      <c r="A198">
        <v>197</v>
      </c>
      <c r="B198" t="s">
        <v>995</v>
      </c>
      <c r="C198" s="35" t="s">
        <v>658</v>
      </c>
      <c r="D198" s="37" t="s">
        <v>159</v>
      </c>
      <c r="E198" s="37" t="s">
        <v>8</v>
      </c>
      <c r="F198" s="37" t="s">
        <v>12</v>
      </c>
      <c r="G198" s="35">
        <v>657</v>
      </c>
      <c r="H198" s="36">
        <v>140000</v>
      </c>
    </row>
    <row r="199" spans="1:8" x14ac:dyDescent="0.35">
      <c r="A199">
        <v>198</v>
      </c>
      <c r="B199" t="s">
        <v>995</v>
      </c>
      <c r="C199" s="35" t="s">
        <v>659</v>
      </c>
      <c r="D199" s="37" t="s">
        <v>159</v>
      </c>
      <c r="E199" s="37" t="s">
        <v>8</v>
      </c>
      <c r="F199" s="37" t="s">
        <v>19</v>
      </c>
      <c r="G199" s="35">
        <v>330</v>
      </c>
      <c r="H199" s="36">
        <v>140000</v>
      </c>
    </row>
    <row r="200" spans="1:8" x14ac:dyDescent="0.35">
      <c r="A200">
        <v>199</v>
      </c>
      <c r="B200" t="s">
        <v>995</v>
      </c>
      <c r="C200" s="35" t="s">
        <v>660</v>
      </c>
      <c r="D200" s="37" t="s">
        <v>410</v>
      </c>
      <c r="E200" s="37" t="s">
        <v>9</v>
      </c>
      <c r="F200" s="37" t="s">
        <v>20</v>
      </c>
      <c r="G200" s="35">
        <v>888</v>
      </c>
      <c r="H200" s="36">
        <v>95000</v>
      </c>
    </row>
    <row r="201" spans="1:8" x14ac:dyDescent="0.35">
      <c r="A201">
        <v>200</v>
      </c>
      <c r="B201" t="s">
        <v>995</v>
      </c>
      <c r="C201" s="35" t="s">
        <v>661</v>
      </c>
      <c r="D201" s="37" t="s">
        <v>410</v>
      </c>
      <c r="E201" s="37" t="s">
        <v>9</v>
      </c>
      <c r="F201" s="37" t="s">
        <v>11</v>
      </c>
      <c r="G201" s="35">
        <v>227</v>
      </c>
      <c r="H201" s="36">
        <v>95000</v>
      </c>
    </row>
    <row r="202" spans="1:8" x14ac:dyDescent="0.35">
      <c r="A202">
        <v>201</v>
      </c>
      <c r="B202" t="s">
        <v>995</v>
      </c>
      <c r="C202" s="35" t="s">
        <v>662</v>
      </c>
      <c r="D202" s="37" t="s">
        <v>410</v>
      </c>
      <c r="E202" s="37" t="s">
        <v>9</v>
      </c>
      <c r="F202" s="37" t="s">
        <v>15</v>
      </c>
      <c r="G202" s="35">
        <v>781</v>
      </c>
      <c r="H202" s="36">
        <v>95000</v>
      </c>
    </row>
    <row r="203" spans="1:8" x14ac:dyDescent="0.35">
      <c r="A203">
        <v>202</v>
      </c>
      <c r="B203" t="s">
        <v>995</v>
      </c>
      <c r="C203" s="35" t="s">
        <v>663</v>
      </c>
      <c r="D203" s="37" t="s">
        <v>410</v>
      </c>
      <c r="E203" s="37" t="s">
        <v>9</v>
      </c>
      <c r="F203" s="37" t="s">
        <v>12</v>
      </c>
      <c r="G203" s="35">
        <v>187</v>
      </c>
      <c r="H203" s="36">
        <v>95000</v>
      </c>
    </row>
    <row r="204" spans="1:8" x14ac:dyDescent="0.35">
      <c r="A204">
        <v>203</v>
      </c>
      <c r="B204" t="s">
        <v>995</v>
      </c>
      <c r="C204" s="35" t="s">
        <v>664</v>
      </c>
      <c r="D204" s="37" t="s">
        <v>410</v>
      </c>
      <c r="E204" s="37" t="s">
        <v>9</v>
      </c>
      <c r="F204" s="37" t="s">
        <v>19</v>
      </c>
      <c r="G204" s="35">
        <v>932</v>
      </c>
      <c r="H204" s="36">
        <v>95000</v>
      </c>
    </row>
    <row r="205" spans="1:8" x14ac:dyDescent="0.35">
      <c r="A205">
        <v>204</v>
      </c>
      <c r="B205" t="s">
        <v>995</v>
      </c>
      <c r="C205" s="35" t="s">
        <v>665</v>
      </c>
      <c r="D205" s="37" t="s">
        <v>410</v>
      </c>
      <c r="E205" s="37" t="s">
        <v>452</v>
      </c>
      <c r="F205" s="37" t="s">
        <v>20</v>
      </c>
      <c r="G205" s="35">
        <v>861</v>
      </c>
      <c r="H205" s="36">
        <v>95000</v>
      </c>
    </row>
    <row r="206" spans="1:8" x14ac:dyDescent="0.35">
      <c r="A206">
        <v>205</v>
      </c>
      <c r="B206" t="s">
        <v>995</v>
      </c>
      <c r="C206" s="35" t="s">
        <v>666</v>
      </c>
      <c r="D206" s="37" t="s">
        <v>410</v>
      </c>
      <c r="E206" s="37" t="s">
        <v>452</v>
      </c>
      <c r="F206" s="37" t="s">
        <v>11</v>
      </c>
      <c r="G206" s="35">
        <v>673</v>
      </c>
      <c r="H206" s="36">
        <v>95000</v>
      </c>
    </row>
    <row r="207" spans="1:8" x14ac:dyDescent="0.35">
      <c r="A207">
        <v>206</v>
      </c>
      <c r="B207" t="s">
        <v>995</v>
      </c>
      <c r="C207" s="35" t="s">
        <v>667</v>
      </c>
      <c r="D207" s="37" t="s">
        <v>410</v>
      </c>
      <c r="E207" s="37" t="s">
        <v>452</v>
      </c>
      <c r="F207" s="37" t="s">
        <v>15</v>
      </c>
      <c r="G207" s="35">
        <v>695</v>
      </c>
      <c r="H207" s="36">
        <v>95000</v>
      </c>
    </row>
    <row r="208" spans="1:8" x14ac:dyDescent="0.35">
      <c r="A208">
        <v>207</v>
      </c>
      <c r="B208" t="s">
        <v>995</v>
      </c>
      <c r="C208" s="35" t="s">
        <v>668</v>
      </c>
      <c r="D208" s="37" t="s">
        <v>410</v>
      </c>
      <c r="E208" s="37" t="s">
        <v>452</v>
      </c>
      <c r="F208" s="37" t="s">
        <v>12</v>
      </c>
      <c r="G208" s="35">
        <v>438</v>
      </c>
      <c r="H208" s="36">
        <v>95000</v>
      </c>
    </row>
    <row r="209" spans="1:8" x14ac:dyDescent="0.35">
      <c r="A209">
        <v>208</v>
      </c>
      <c r="B209" t="s">
        <v>995</v>
      </c>
      <c r="C209" s="35" t="s">
        <v>669</v>
      </c>
      <c r="D209" s="37" t="s">
        <v>410</v>
      </c>
      <c r="E209" s="37" t="s">
        <v>452</v>
      </c>
      <c r="F209" s="37" t="s">
        <v>19</v>
      </c>
      <c r="G209" s="35">
        <v>458</v>
      </c>
      <c r="H209" s="36">
        <v>95000</v>
      </c>
    </row>
    <row r="210" spans="1:8" x14ac:dyDescent="0.35">
      <c r="A210">
        <v>209</v>
      </c>
      <c r="B210" t="s">
        <v>996</v>
      </c>
      <c r="C210" s="35" t="s">
        <v>670</v>
      </c>
      <c r="D210" s="37" t="s">
        <v>414</v>
      </c>
      <c r="E210" s="37" t="s">
        <v>453</v>
      </c>
      <c r="F210" s="37" t="s">
        <v>20</v>
      </c>
      <c r="G210" s="35">
        <v>988</v>
      </c>
      <c r="H210" s="36">
        <v>95000</v>
      </c>
    </row>
    <row r="211" spans="1:8" x14ac:dyDescent="0.35">
      <c r="A211">
        <v>210</v>
      </c>
      <c r="B211" t="s">
        <v>996</v>
      </c>
      <c r="C211" s="35" t="s">
        <v>671</v>
      </c>
      <c r="D211" s="37" t="s">
        <v>414</v>
      </c>
      <c r="E211" s="37" t="s">
        <v>453</v>
      </c>
      <c r="F211" s="37" t="s">
        <v>11</v>
      </c>
      <c r="G211" s="35">
        <v>300</v>
      </c>
      <c r="H211" s="36">
        <v>95000</v>
      </c>
    </row>
    <row r="212" spans="1:8" x14ac:dyDescent="0.35">
      <c r="A212">
        <v>211</v>
      </c>
      <c r="B212" t="s">
        <v>996</v>
      </c>
      <c r="C212" s="35" t="s">
        <v>672</v>
      </c>
      <c r="D212" s="37" t="s">
        <v>414</v>
      </c>
      <c r="E212" s="37" t="s">
        <v>453</v>
      </c>
      <c r="F212" s="37" t="s">
        <v>15</v>
      </c>
      <c r="G212" s="35">
        <v>520</v>
      </c>
      <c r="H212" s="36">
        <v>95000</v>
      </c>
    </row>
    <row r="213" spans="1:8" x14ac:dyDescent="0.35">
      <c r="A213">
        <v>212</v>
      </c>
      <c r="B213" t="s">
        <v>996</v>
      </c>
      <c r="C213" s="35" t="s">
        <v>673</v>
      </c>
      <c r="D213" s="37" t="s">
        <v>414</v>
      </c>
      <c r="E213" s="37" t="s">
        <v>453</v>
      </c>
      <c r="F213" s="37" t="s">
        <v>12</v>
      </c>
      <c r="G213" s="35">
        <v>717</v>
      </c>
      <c r="H213" s="36">
        <v>95000</v>
      </c>
    </row>
    <row r="214" spans="1:8" x14ac:dyDescent="0.35">
      <c r="A214">
        <v>213</v>
      </c>
      <c r="B214" t="s">
        <v>996</v>
      </c>
      <c r="C214" s="35" t="s">
        <v>674</v>
      </c>
      <c r="D214" s="37" t="s">
        <v>432</v>
      </c>
      <c r="E214" s="37" t="s">
        <v>454</v>
      </c>
      <c r="F214" s="37" t="s">
        <v>20</v>
      </c>
      <c r="G214" s="35">
        <v>422</v>
      </c>
      <c r="H214" s="36">
        <v>95000</v>
      </c>
    </row>
    <row r="215" spans="1:8" x14ac:dyDescent="0.35">
      <c r="A215">
        <v>214</v>
      </c>
      <c r="B215" t="s">
        <v>996</v>
      </c>
      <c r="C215" s="35" t="s">
        <v>675</v>
      </c>
      <c r="D215" s="37" t="s">
        <v>432</v>
      </c>
      <c r="E215" s="37" t="s">
        <v>454</v>
      </c>
      <c r="F215" s="37" t="s">
        <v>11</v>
      </c>
      <c r="G215" s="35">
        <v>222</v>
      </c>
      <c r="H215" s="36">
        <v>95000</v>
      </c>
    </row>
    <row r="216" spans="1:8" x14ac:dyDescent="0.35">
      <c r="A216">
        <v>215</v>
      </c>
      <c r="B216" t="s">
        <v>996</v>
      </c>
      <c r="C216" s="35" t="s">
        <v>676</v>
      </c>
      <c r="D216" s="37" t="s">
        <v>432</v>
      </c>
      <c r="E216" s="37" t="s">
        <v>454</v>
      </c>
      <c r="F216" s="37" t="s">
        <v>15</v>
      </c>
      <c r="G216" s="35">
        <v>676</v>
      </c>
      <c r="H216" s="36">
        <v>95000</v>
      </c>
    </row>
    <row r="217" spans="1:8" x14ac:dyDescent="0.35">
      <c r="A217">
        <v>216</v>
      </c>
      <c r="B217" t="s">
        <v>996</v>
      </c>
      <c r="C217" s="35" t="s">
        <v>677</v>
      </c>
      <c r="D217" s="37" t="s">
        <v>432</v>
      </c>
      <c r="E217" s="37" t="s">
        <v>454</v>
      </c>
      <c r="F217" s="37" t="s">
        <v>12</v>
      </c>
      <c r="G217" s="35">
        <v>310</v>
      </c>
      <c r="H217" s="36">
        <v>95000</v>
      </c>
    </row>
    <row r="218" spans="1:8" x14ac:dyDescent="0.35">
      <c r="A218">
        <v>217</v>
      </c>
      <c r="B218" t="s">
        <v>996</v>
      </c>
      <c r="C218" s="35" t="s">
        <v>678</v>
      </c>
      <c r="D218" s="37" t="s">
        <v>432</v>
      </c>
      <c r="E218" s="37" t="s">
        <v>454</v>
      </c>
      <c r="F218" s="37" t="s">
        <v>19</v>
      </c>
      <c r="G218" s="35">
        <v>775</v>
      </c>
      <c r="H218" s="36">
        <v>95000</v>
      </c>
    </row>
    <row r="219" spans="1:8" x14ac:dyDescent="0.35">
      <c r="A219">
        <v>218</v>
      </c>
      <c r="B219" t="s">
        <v>996</v>
      </c>
      <c r="C219" s="35" t="s">
        <v>679</v>
      </c>
      <c r="D219" s="37" t="s">
        <v>432</v>
      </c>
      <c r="E219" s="37" t="s">
        <v>9</v>
      </c>
      <c r="F219" s="37" t="s">
        <v>20</v>
      </c>
      <c r="G219" s="35">
        <v>118</v>
      </c>
      <c r="H219" s="36">
        <v>95000</v>
      </c>
    </row>
    <row r="220" spans="1:8" x14ac:dyDescent="0.35">
      <c r="A220">
        <v>219</v>
      </c>
      <c r="B220" t="s">
        <v>996</v>
      </c>
      <c r="C220" s="35" t="s">
        <v>680</v>
      </c>
      <c r="D220" s="37" t="s">
        <v>432</v>
      </c>
      <c r="E220" s="37" t="s">
        <v>9</v>
      </c>
      <c r="F220" s="37" t="s">
        <v>11</v>
      </c>
      <c r="G220" s="35">
        <v>785</v>
      </c>
      <c r="H220" s="36">
        <v>95000</v>
      </c>
    </row>
    <row r="221" spans="1:8" x14ac:dyDescent="0.35">
      <c r="A221">
        <v>220</v>
      </c>
      <c r="B221" t="s">
        <v>996</v>
      </c>
      <c r="C221" s="35" t="s">
        <v>681</v>
      </c>
      <c r="D221" s="37" t="s">
        <v>432</v>
      </c>
      <c r="E221" s="37" t="s">
        <v>9</v>
      </c>
      <c r="F221" s="37" t="s">
        <v>15</v>
      </c>
      <c r="G221" s="35">
        <v>680</v>
      </c>
      <c r="H221" s="36">
        <v>95000</v>
      </c>
    </row>
    <row r="222" spans="1:8" x14ac:dyDescent="0.35">
      <c r="A222">
        <v>221</v>
      </c>
      <c r="B222" t="s">
        <v>996</v>
      </c>
      <c r="C222" s="35" t="s">
        <v>682</v>
      </c>
      <c r="D222" s="37" t="s">
        <v>432</v>
      </c>
      <c r="E222" s="37" t="s">
        <v>9</v>
      </c>
      <c r="F222" s="37" t="s">
        <v>12</v>
      </c>
      <c r="G222" s="35">
        <v>883</v>
      </c>
      <c r="H222" s="36">
        <v>95000</v>
      </c>
    </row>
    <row r="223" spans="1:8" x14ac:dyDescent="0.35">
      <c r="A223">
        <v>222</v>
      </c>
      <c r="B223" t="s">
        <v>996</v>
      </c>
      <c r="C223" s="35" t="s">
        <v>683</v>
      </c>
      <c r="D223" s="37" t="s">
        <v>432</v>
      </c>
      <c r="E223" s="37" t="s">
        <v>9</v>
      </c>
      <c r="F223" s="37" t="s">
        <v>19</v>
      </c>
      <c r="G223" s="35">
        <v>843</v>
      </c>
      <c r="H223" s="36">
        <v>95000</v>
      </c>
    </row>
    <row r="224" spans="1:8" x14ac:dyDescent="0.35">
      <c r="A224">
        <v>223</v>
      </c>
      <c r="B224" t="s">
        <v>996</v>
      </c>
      <c r="C224" s="35" t="s">
        <v>684</v>
      </c>
      <c r="D224" s="37" t="s">
        <v>418</v>
      </c>
      <c r="E224" s="37" t="s">
        <v>30</v>
      </c>
      <c r="F224" s="37" t="s">
        <v>20</v>
      </c>
      <c r="G224" s="35">
        <v>739</v>
      </c>
      <c r="H224" s="36">
        <v>100000</v>
      </c>
    </row>
    <row r="225" spans="1:8" x14ac:dyDescent="0.35">
      <c r="A225">
        <v>224</v>
      </c>
      <c r="B225" t="s">
        <v>996</v>
      </c>
      <c r="C225" s="35" t="s">
        <v>685</v>
      </c>
      <c r="D225" s="37" t="s">
        <v>418</v>
      </c>
      <c r="E225" s="37" t="s">
        <v>30</v>
      </c>
      <c r="F225" s="37" t="s">
        <v>11</v>
      </c>
      <c r="G225" s="35">
        <v>558</v>
      </c>
      <c r="H225" s="36">
        <v>100000</v>
      </c>
    </row>
    <row r="226" spans="1:8" x14ac:dyDescent="0.35">
      <c r="A226">
        <v>225</v>
      </c>
      <c r="B226" t="s">
        <v>996</v>
      </c>
      <c r="C226" s="35" t="s">
        <v>686</v>
      </c>
      <c r="D226" s="37" t="s">
        <v>418</v>
      </c>
      <c r="E226" s="37" t="s">
        <v>30</v>
      </c>
      <c r="F226" s="37" t="s">
        <v>15</v>
      </c>
      <c r="G226" s="35">
        <v>811</v>
      </c>
      <c r="H226" s="36">
        <v>100000</v>
      </c>
    </row>
    <row r="227" spans="1:8" x14ac:dyDescent="0.35">
      <c r="A227">
        <v>226</v>
      </c>
      <c r="B227" t="s">
        <v>996</v>
      </c>
      <c r="C227" s="35" t="s">
        <v>687</v>
      </c>
      <c r="D227" s="37" t="s">
        <v>418</v>
      </c>
      <c r="E227" s="37" t="s">
        <v>30</v>
      </c>
      <c r="F227" s="37" t="s">
        <v>12</v>
      </c>
      <c r="G227" s="35">
        <v>911</v>
      </c>
      <c r="H227" s="36">
        <v>100000</v>
      </c>
    </row>
    <row r="228" spans="1:8" x14ac:dyDescent="0.35">
      <c r="A228">
        <v>227</v>
      </c>
      <c r="B228" t="s">
        <v>996</v>
      </c>
      <c r="C228" s="35" t="s">
        <v>688</v>
      </c>
      <c r="D228" s="37" t="s">
        <v>418</v>
      </c>
      <c r="E228" s="37" t="s">
        <v>30</v>
      </c>
      <c r="F228" s="37" t="s">
        <v>19</v>
      </c>
      <c r="G228" s="35">
        <v>949</v>
      </c>
      <c r="H228" s="36">
        <v>100000</v>
      </c>
    </row>
    <row r="229" spans="1:8" x14ac:dyDescent="0.35">
      <c r="A229">
        <v>228</v>
      </c>
      <c r="B229" t="s">
        <v>996</v>
      </c>
      <c r="C229" s="35" t="s">
        <v>689</v>
      </c>
      <c r="D229" s="37" t="s">
        <v>418</v>
      </c>
      <c r="E229" s="37" t="s">
        <v>452</v>
      </c>
      <c r="F229" s="37" t="s">
        <v>20</v>
      </c>
      <c r="G229" s="35">
        <v>748</v>
      </c>
      <c r="H229" s="36">
        <v>100000</v>
      </c>
    </row>
    <row r="230" spans="1:8" x14ac:dyDescent="0.35">
      <c r="A230">
        <v>229</v>
      </c>
      <c r="B230" t="s">
        <v>996</v>
      </c>
      <c r="C230" s="35" t="s">
        <v>690</v>
      </c>
      <c r="D230" s="37" t="s">
        <v>418</v>
      </c>
      <c r="E230" s="37" t="s">
        <v>452</v>
      </c>
      <c r="F230" s="37" t="s">
        <v>11</v>
      </c>
      <c r="G230" s="35">
        <v>260</v>
      </c>
      <c r="H230" s="36">
        <v>100000</v>
      </c>
    </row>
    <row r="231" spans="1:8" x14ac:dyDescent="0.35">
      <c r="A231">
        <v>230</v>
      </c>
      <c r="B231" t="s">
        <v>996</v>
      </c>
      <c r="C231" s="35" t="s">
        <v>691</v>
      </c>
      <c r="D231" s="37" t="s">
        <v>418</v>
      </c>
      <c r="E231" s="37" t="s">
        <v>452</v>
      </c>
      <c r="F231" s="37" t="s">
        <v>15</v>
      </c>
      <c r="G231" s="35">
        <v>447</v>
      </c>
      <c r="H231" s="36">
        <v>100000</v>
      </c>
    </row>
    <row r="232" spans="1:8" x14ac:dyDescent="0.35">
      <c r="A232">
        <v>231</v>
      </c>
      <c r="B232" t="s">
        <v>996</v>
      </c>
      <c r="C232" s="35" t="s">
        <v>692</v>
      </c>
      <c r="D232" s="37" t="s">
        <v>418</v>
      </c>
      <c r="E232" s="37" t="s">
        <v>452</v>
      </c>
      <c r="F232" s="37" t="s">
        <v>12</v>
      </c>
      <c r="G232" s="35">
        <v>163</v>
      </c>
      <c r="H232" s="36">
        <v>100000</v>
      </c>
    </row>
    <row r="233" spans="1:8" x14ac:dyDescent="0.35">
      <c r="A233">
        <v>232</v>
      </c>
      <c r="B233" t="s">
        <v>996</v>
      </c>
      <c r="C233" s="35" t="s">
        <v>693</v>
      </c>
      <c r="D233" s="37" t="s">
        <v>418</v>
      </c>
      <c r="E233" s="37" t="s">
        <v>452</v>
      </c>
      <c r="F233" s="37" t="s">
        <v>19</v>
      </c>
      <c r="G233" s="35">
        <v>93</v>
      </c>
      <c r="H233" s="36">
        <v>100000</v>
      </c>
    </row>
    <row r="234" spans="1:8" x14ac:dyDescent="0.35">
      <c r="A234">
        <v>233</v>
      </c>
      <c r="B234" t="s">
        <v>997</v>
      </c>
      <c r="C234" s="35" t="s">
        <v>694</v>
      </c>
      <c r="D234" s="37" t="s">
        <v>419</v>
      </c>
      <c r="E234" s="37" t="s">
        <v>9</v>
      </c>
      <c r="F234" s="37" t="s">
        <v>20</v>
      </c>
      <c r="G234" s="35">
        <v>580</v>
      </c>
      <c r="H234" s="36">
        <v>100000</v>
      </c>
    </row>
    <row r="235" spans="1:8" x14ac:dyDescent="0.35">
      <c r="A235">
        <v>234</v>
      </c>
      <c r="B235" t="s">
        <v>997</v>
      </c>
      <c r="C235" s="35" t="s">
        <v>695</v>
      </c>
      <c r="D235" s="37" t="s">
        <v>419</v>
      </c>
      <c r="E235" s="37" t="s">
        <v>9</v>
      </c>
      <c r="F235" s="37" t="s">
        <v>11</v>
      </c>
      <c r="G235" s="35">
        <v>548</v>
      </c>
      <c r="H235" s="36">
        <v>100000</v>
      </c>
    </row>
    <row r="236" spans="1:8" x14ac:dyDescent="0.35">
      <c r="A236">
        <v>235</v>
      </c>
      <c r="B236" t="s">
        <v>997</v>
      </c>
      <c r="C236" s="35" t="s">
        <v>696</v>
      </c>
      <c r="D236" s="37" t="s">
        <v>419</v>
      </c>
      <c r="E236" s="37" t="s">
        <v>9</v>
      </c>
      <c r="F236" s="37" t="s">
        <v>15</v>
      </c>
      <c r="G236" s="35">
        <v>707</v>
      </c>
      <c r="H236" s="36">
        <v>100000</v>
      </c>
    </row>
    <row r="237" spans="1:8" x14ac:dyDescent="0.35">
      <c r="A237">
        <v>236</v>
      </c>
      <c r="B237" t="s">
        <v>997</v>
      </c>
      <c r="C237" s="35" t="s">
        <v>697</v>
      </c>
      <c r="D237" s="37" t="s">
        <v>419</v>
      </c>
      <c r="E237" s="37" t="s">
        <v>9</v>
      </c>
      <c r="F237" s="37" t="s">
        <v>12</v>
      </c>
      <c r="G237" s="35">
        <v>343</v>
      </c>
      <c r="H237" s="36">
        <v>100000</v>
      </c>
    </row>
    <row r="238" spans="1:8" x14ac:dyDescent="0.35">
      <c r="A238">
        <v>237</v>
      </c>
      <c r="B238" t="s">
        <v>997</v>
      </c>
      <c r="C238" s="35" t="s">
        <v>698</v>
      </c>
      <c r="D238" s="37" t="s">
        <v>419</v>
      </c>
      <c r="E238" s="37" t="s">
        <v>9</v>
      </c>
      <c r="F238" s="37" t="s">
        <v>19</v>
      </c>
      <c r="G238" s="35">
        <v>456</v>
      </c>
      <c r="H238" s="36">
        <v>100000</v>
      </c>
    </row>
    <row r="239" spans="1:8" x14ac:dyDescent="0.35">
      <c r="A239">
        <v>238</v>
      </c>
      <c r="B239" t="s">
        <v>997</v>
      </c>
      <c r="C239" s="35" t="s">
        <v>699</v>
      </c>
      <c r="D239" s="37" t="s">
        <v>419</v>
      </c>
      <c r="E239" s="37" t="s">
        <v>29</v>
      </c>
      <c r="F239" s="37" t="s">
        <v>20</v>
      </c>
      <c r="G239" s="35">
        <v>22</v>
      </c>
      <c r="H239" s="36">
        <v>100000</v>
      </c>
    </row>
    <row r="240" spans="1:8" x14ac:dyDescent="0.35">
      <c r="A240">
        <v>239</v>
      </c>
      <c r="B240" t="s">
        <v>997</v>
      </c>
      <c r="C240" s="35" t="s">
        <v>700</v>
      </c>
      <c r="D240" s="37" t="s">
        <v>419</v>
      </c>
      <c r="E240" s="37" t="s">
        <v>29</v>
      </c>
      <c r="F240" s="37" t="s">
        <v>11</v>
      </c>
      <c r="G240" s="35">
        <v>759</v>
      </c>
      <c r="H240" s="36">
        <v>100000</v>
      </c>
    </row>
    <row r="241" spans="1:8" x14ac:dyDescent="0.35">
      <c r="A241">
        <v>240</v>
      </c>
      <c r="B241" t="s">
        <v>997</v>
      </c>
      <c r="C241" s="35" t="s">
        <v>701</v>
      </c>
      <c r="D241" s="37" t="s">
        <v>419</v>
      </c>
      <c r="E241" s="37" t="s">
        <v>29</v>
      </c>
      <c r="F241" s="37" t="s">
        <v>15</v>
      </c>
      <c r="G241" s="35">
        <v>681</v>
      </c>
      <c r="H241" s="36">
        <v>100000</v>
      </c>
    </row>
    <row r="242" spans="1:8" x14ac:dyDescent="0.35">
      <c r="A242">
        <v>241</v>
      </c>
      <c r="B242" t="s">
        <v>997</v>
      </c>
      <c r="C242" s="35" t="s">
        <v>702</v>
      </c>
      <c r="D242" s="37" t="s">
        <v>419</v>
      </c>
      <c r="E242" s="37" t="s">
        <v>29</v>
      </c>
      <c r="F242" s="37" t="s">
        <v>12</v>
      </c>
      <c r="G242" s="35">
        <v>443</v>
      </c>
      <c r="H242" s="36">
        <v>100000</v>
      </c>
    </row>
    <row r="243" spans="1:8" x14ac:dyDescent="0.35">
      <c r="A243">
        <v>242</v>
      </c>
      <c r="B243" t="s">
        <v>997</v>
      </c>
      <c r="C243" s="35" t="s">
        <v>703</v>
      </c>
      <c r="D243" s="37" t="s">
        <v>419</v>
      </c>
      <c r="E243" s="37" t="s">
        <v>29</v>
      </c>
      <c r="F243" s="37" t="s">
        <v>19</v>
      </c>
      <c r="G243" s="35">
        <v>158</v>
      </c>
      <c r="H243" s="36">
        <v>100000</v>
      </c>
    </row>
    <row r="244" spans="1:8" x14ac:dyDescent="0.35">
      <c r="A244">
        <v>243</v>
      </c>
      <c r="B244" t="s">
        <v>997</v>
      </c>
      <c r="C244" s="35" t="s">
        <v>704</v>
      </c>
      <c r="D244" s="37" t="s">
        <v>420</v>
      </c>
      <c r="E244" s="37" t="s">
        <v>455</v>
      </c>
      <c r="F244" s="37" t="s">
        <v>20</v>
      </c>
      <c r="G244" s="35">
        <v>748</v>
      </c>
      <c r="H244" s="36">
        <v>100000</v>
      </c>
    </row>
    <row r="245" spans="1:8" x14ac:dyDescent="0.35">
      <c r="A245">
        <v>244</v>
      </c>
      <c r="B245" t="s">
        <v>997</v>
      </c>
      <c r="C245" s="35" t="s">
        <v>705</v>
      </c>
      <c r="D245" s="37" t="s">
        <v>420</v>
      </c>
      <c r="E245" s="37" t="s">
        <v>455</v>
      </c>
      <c r="F245" s="37" t="s">
        <v>11</v>
      </c>
      <c r="G245" s="35">
        <v>310</v>
      </c>
      <c r="H245" s="36">
        <v>100000</v>
      </c>
    </row>
    <row r="246" spans="1:8" x14ac:dyDescent="0.35">
      <c r="A246">
        <v>245</v>
      </c>
      <c r="B246" t="s">
        <v>997</v>
      </c>
      <c r="C246" s="35" t="s">
        <v>706</v>
      </c>
      <c r="D246" s="37" t="s">
        <v>420</v>
      </c>
      <c r="E246" s="37" t="s">
        <v>455</v>
      </c>
      <c r="F246" s="37" t="s">
        <v>15</v>
      </c>
      <c r="G246" s="35">
        <v>456</v>
      </c>
      <c r="H246" s="36">
        <v>100000</v>
      </c>
    </row>
    <row r="247" spans="1:8" x14ac:dyDescent="0.35">
      <c r="A247">
        <v>246</v>
      </c>
      <c r="B247" t="s">
        <v>997</v>
      </c>
      <c r="C247" s="35" t="s">
        <v>707</v>
      </c>
      <c r="D247" s="37" t="s">
        <v>420</v>
      </c>
      <c r="E247" s="37" t="s">
        <v>455</v>
      </c>
      <c r="F247" s="37" t="s">
        <v>12</v>
      </c>
      <c r="G247" s="35">
        <v>461</v>
      </c>
      <c r="H247" s="36">
        <v>100000</v>
      </c>
    </row>
    <row r="248" spans="1:8" x14ac:dyDescent="0.35">
      <c r="A248">
        <v>247</v>
      </c>
      <c r="B248" t="s">
        <v>997</v>
      </c>
      <c r="C248" s="35" t="s">
        <v>708</v>
      </c>
      <c r="D248" s="37" t="s">
        <v>420</v>
      </c>
      <c r="E248" s="37" t="s">
        <v>455</v>
      </c>
      <c r="F248" s="37" t="s">
        <v>19</v>
      </c>
      <c r="G248" s="35">
        <v>356</v>
      </c>
      <c r="H248" s="36">
        <v>100000</v>
      </c>
    </row>
    <row r="249" spans="1:8" x14ac:dyDescent="0.35">
      <c r="A249">
        <v>248</v>
      </c>
      <c r="B249" t="s">
        <v>997</v>
      </c>
      <c r="C249" s="35" t="s">
        <v>709</v>
      </c>
      <c r="D249" s="37" t="s">
        <v>420</v>
      </c>
      <c r="E249" s="37" t="s">
        <v>456</v>
      </c>
      <c r="F249" s="37" t="s">
        <v>20</v>
      </c>
      <c r="G249" s="35">
        <v>869</v>
      </c>
      <c r="H249" s="36">
        <v>100000</v>
      </c>
    </row>
    <row r="250" spans="1:8" x14ac:dyDescent="0.35">
      <c r="A250">
        <v>249</v>
      </c>
      <c r="B250" t="s">
        <v>997</v>
      </c>
      <c r="C250" s="35" t="s">
        <v>710</v>
      </c>
      <c r="D250" s="37" t="s">
        <v>420</v>
      </c>
      <c r="E250" s="37" t="s">
        <v>456</v>
      </c>
      <c r="F250" s="37" t="s">
        <v>11</v>
      </c>
      <c r="G250" s="35">
        <v>329</v>
      </c>
      <c r="H250" s="36">
        <v>100000</v>
      </c>
    </row>
    <row r="251" spans="1:8" x14ac:dyDescent="0.35">
      <c r="A251">
        <v>250</v>
      </c>
      <c r="B251" t="s">
        <v>997</v>
      </c>
      <c r="C251" s="35" t="s">
        <v>711</v>
      </c>
      <c r="D251" s="37" t="s">
        <v>420</v>
      </c>
      <c r="E251" s="37" t="s">
        <v>456</v>
      </c>
      <c r="F251" s="37" t="s">
        <v>15</v>
      </c>
      <c r="G251" s="35">
        <v>171</v>
      </c>
      <c r="H251" s="36">
        <v>100000</v>
      </c>
    </row>
    <row r="252" spans="1:8" x14ac:dyDescent="0.35">
      <c r="A252">
        <v>251</v>
      </c>
      <c r="B252" t="s">
        <v>997</v>
      </c>
      <c r="C252" s="35" t="s">
        <v>712</v>
      </c>
      <c r="D252" s="37" t="s">
        <v>420</v>
      </c>
      <c r="E252" s="37" t="s">
        <v>456</v>
      </c>
      <c r="F252" s="37" t="s">
        <v>12</v>
      </c>
      <c r="G252" s="35">
        <v>102</v>
      </c>
      <c r="H252" s="36">
        <v>100000</v>
      </c>
    </row>
    <row r="253" spans="1:8" x14ac:dyDescent="0.35">
      <c r="A253">
        <v>252</v>
      </c>
      <c r="B253" t="s">
        <v>997</v>
      </c>
      <c r="C253" s="35" t="s">
        <v>713</v>
      </c>
      <c r="D253" s="37" t="s">
        <v>420</v>
      </c>
      <c r="E253" s="37" t="s">
        <v>456</v>
      </c>
      <c r="F253" s="37" t="s">
        <v>19</v>
      </c>
      <c r="G253" s="35">
        <v>950</v>
      </c>
      <c r="H253" s="36">
        <v>100000</v>
      </c>
    </row>
    <row r="254" spans="1:8" x14ac:dyDescent="0.35">
      <c r="A254">
        <v>253</v>
      </c>
      <c r="B254" t="s">
        <v>997</v>
      </c>
      <c r="C254" s="35" t="s">
        <v>714</v>
      </c>
      <c r="D254" s="37" t="s">
        <v>425</v>
      </c>
      <c r="E254" s="37" t="s">
        <v>9</v>
      </c>
      <c r="F254" s="37" t="s">
        <v>20</v>
      </c>
      <c r="G254" s="35">
        <v>13</v>
      </c>
      <c r="H254" s="36">
        <v>100000</v>
      </c>
    </row>
    <row r="255" spans="1:8" x14ac:dyDescent="0.35">
      <c r="A255">
        <v>254</v>
      </c>
      <c r="B255" t="s">
        <v>997</v>
      </c>
      <c r="C255" s="35" t="s">
        <v>715</v>
      </c>
      <c r="D255" s="37" t="s">
        <v>425</v>
      </c>
      <c r="E255" s="37" t="s">
        <v>9</v>
      </c>
      <c r="F255" s="37" t="s">
        <v>11</v>
      </c>
      <c r="G255" s="35">
        <v>509</v>
      </c>
      <c r="H255" s="36">
        <v>100000</v>
      </c>
    </row>
    <row r="256" spans="1:8" x14ac:dyDescent="0.35">
      <c r="A256">
        <v>255</v>
      </c>
      <c r="B256" t="s">
        <v>997</v>
      </c>
      <c r="C256" s="35" t="s">
        <v>716</v>
      </c>
      <c r="D256" s="37" t="s">
        <v>425</v>
      </c>
      <c r="E256" s="37" t="s">
        <v>9</v>
      </c>
      <c r="F256" s="37" t="s">
        <v>15</v>
      </c>
      <c r="G256" s="35">
        <v>771</v>
      </c>
      <c r="H256" s="36">
        <v>100000</v>
      </c>
    </row>
    <row r="257" spans="1:8" x14ac:dyDescent="0.35">
      <c r="A257">
        <v>256</v>
      </c>
      <c r="B257" t="s">
        <v>997</v>
      </c>
      <c r="C257" s="35" t="s">
        <v>717</v>
      </c>
      <c r="D257" s="37" t="s">
        <v>425</v>
      </c>
      <c r="E257" s="37" t="s">
        <v>9</v>
      </c>
      <c r="F257" s="37" t="s">
        <v>12</v>
      </c>
      <c r="G257" s="35">
        <v>261</v>
      </c>
      <c r="H257" s="36">
        <v>100000</v>
      </c>
    </row>
    <row r="258" spans="1:8" x14ac:dyDescent="0.35">
      <c r="A258">
        <v>257</v>
      </c>
      <c r="B258" t="s">
        <v>997</v>
      </c>
      <c r="C258" s="35" t="s">
        <v>718</v>
      </c>
      <c r="D258" s="37" t="s">
        <v>425</v>
      </c>
      <c r="E258" s="37" t="s">
        <v>9</v>
      </c>
      <c r="F258" s="37" t="s">
        <v>19</v>
      </c>
      <c r="G258" s="35">
        <v>95</v>
      </c>
      <c r="H258" s="36">
        <v>100000</v>
      </c>
    </row>
    <row r="259" spans="1:8" x14ac:dyDescent="0.35">
      <c r="A259">
        <v>258</v>
      </c>
      <c r="B259" t="s">
        <v>997</v>
      </c>
      <c r="C259" s="35" t="s">
        <v>719</v>
      </c>
      <c r="D259" s="37" t="s">
        <v>425</v>
      </c>
      <c r="E259" s="37" t="s">
        <v>450</v>
      </c>
      <c r="F259" s="37" t="s">
        <v>20</v>
      </c>
      <c r="G259" s="35">
        <v>37</v>
      </c>
      <c r="H259" s="36">
        <v>100000</v>
      </c>
    </row>
    <row r="260" spans="1:8" x14ac:dyDescent="0.35">
      <c r="A260">
        <v>259</v>
      </c>
      <c r="B260" t="s">
        <v>997</v>
      </c>
      <c r="C260" s="35" t="s">
        <v>720</v>
      </c>
      <c r="D260" s="37" t="s">
        <v>425</v>
      </c>
      <c r="E260" s="37" t="s">
        <v>450</v>
      </c>
      <c r="F260" s="37" t="s">
        <v>11</v>
      </c>
      <c r="G260" s="35">
        <v>32</v>
      </c>
      <c r="H260" s="36">
        <v>100000</v>
      </c>
    </row>
    <row r="261" spans="1:8" x14ac:dyDescent="0.35">
      <c r="A261">
        <v>260</v>
      </c>
      <c r="B261" t="s">
        <v>997</v>
      </c>
      <c r="C261" s="35" t="s">
        <v>721</v>
      </c>
      <c r="D261" s="37" t="s">
        <v>425</v>
      </c>
      <c r="E261" s="37" t="s">
        <v>450</v>
      </c>
      <c r="F261" s="37" t="s">
        <v>15</v>
      </c>
      <c r="G261" s="35">
        <v>299</v>
      </c>
      <c r="H261" s="36">
        <v>100000</v>
      </c>
    </row>
    <row r="262" spans="1:8" x14ac:dyDescent="0.35">
      <c r="A262">
        <v>261</v>
      </c>
      <c r="B262" t="s">
        <v>997</v>
      </c>
      <c r="C262" s="35" t="s">
        <v>722</v>
      </c>
      <c r="D262" s="37" t="s">
        <v>425</v>
      </c>
      <c r="E262" s="37" t="s">
        <v>450</v>
      </c>
      <c r="F262" s="37" t="s">
        <v>12</v>
      </c>
      <c r="G262" s="35">
        <v>556</v>
      </c>
      <c r="H262" s="36">
        <v>100000</v>
      </c>
    </row>
    <row r="263" spans="1:8" x14ac:dyDescent="0.35">
      <c r="A263">
        <v>262</v>
      </c>
      <c r="B263" t="s">
        <v>997</v>
      </c>
      <c r="C263" s="35" t="s">
        <v>723</v>
      </c>
      <c r="D263" s="37" t="s">
        <v>425</v>
      </c>
      <c r="E263" s="37" t="s">
        <v>450</v>
      </c>
      <c r="F263" s="37" t="s">
        <v>19</v>
      </c>
      <c r="G263" s="35">
        <v>408</v>
      </c>
      <c r="H263" s="36">
        <v>100000</v>
      </c>
    </row>
    <row r="264" spans="1:8" x14ac:dyDescent="0.35">
      <c r="A264">
        <v>263</v>
      </c>
      <c r="B264" t="s">
        <v>997</v>
      </c>
      <c r="C264" s="35" t="s">
        <v>724</v>
      </c>
      <c r="D264" s="37" t="s">
        <v>426</v>
      </c>
      <c r="E264" s="37" t="s">
        <v>457</v>
      </c>
      <c r="F264" s="37" t="s">
        <v>20</v>
      </c>
      <c r="G264" s="35">
        <v>123</v>
      </c>
      <c r="H264" s="36">
        <v>100000</v>
      </c>
    </row>
    <row r="265" spans="1:8" x14ac:dyDescent="0.35">
      <c r="A265">
        <v>264</v>
      </c>
      <c r="B265" t="s">
        <v>997</v>
      </c>
      <c r="C265" s="35" t="s">
        <v>725</v>
      </c>
      <c r="D265" s="37" t="s">
        <v>426</v>
      </c>
      <c r="E265" s="37" t="s">
        <v>457</v>
      </c>
      <c r="F265" s="37" t="s">
        <v>11</v>
      </c>
      <c r="G265" s="35">
        <v>702</v>
      </c>
      <c r="H265" s="36">
        <v>100000</v>
      </c>
    </row>
    <row r="266" spans="1:8" x14ac:dyDescent="0.35">
      <c r="A266">
        <v>265</v>
      </c>
      <c r="B266" t="s">
        <v>997</v>
      </c>
      <c r="C266" s="35" t="s">
        <v>726</v>
      </c>
      <c r="D266" s="37" t="s">
        <v>426</v>
      </c>
      <c r="E266" s="37" t="s">
        <v>457</v>
      </c>
      <c r="F266" s="37" t="s">
        <v>15</v>
      </c>
      <c r="G266" s="35">
        <v>901</v>
      </c>
      <c r="H266" s="36">
        <v>100000</v>
      </c>
    </row>
    <row r="267" spans="1:8" x14ac:dyDescent="0.35">
      <c r="A267">
        <v>266</v>
      </c>
      <c r="B267" t="s">
        <v>997</v>
      </c>
      <c r="C267" s="35" t="s">
        <v>727</v>
      </c>
      <c r="D267" s="37" t="s">
        <v>426</v>
      </c>
      <c r="E267" s="37" t="s">
        <v>457</v>
      </c>
      <c r="F267" s="37" t="s">
        <v>12</v>
      </c>
      <c r="G267" s="35">
        <v>944</v>
      </c>
      <c r="H267" s="36">
        <v>100000</v>
      </c>
    </row>
    <row r="268" spans="1:8" x14ac:dyDescent="0.35">
      <c r="A268">
        <v>267</v>
      </c>
      <c r="B268" t="s">
        <v>997</v>
      </c>
      <c r="C268" s="35" t="s">
        <v>728</v>
      </c>
      <c r="D268" s="37" t="s">
        <v>426</v>
      </c>
      <c r="E268" s="37" t="s">
        <v>457</v>
      </c>
      <c r="F268" s="37" t="s">
        <v>19</v>
      </c>
      <c r="G268" s="35">
        <v>301</v>
      </c>
      <c r="H268" s="36">
        <v>100000</v>
      </c>
    </row>
    <row r="269" spans="1:8" x14ac:dyDescent="0.35">
      <c r="A269">
        <v>268</v>
      </c>
      <c r="B269" t="s">
        <v>997</v>
      </c>
      <c r="C269" s="35" t="s">
        <v>729</v>
      </c>
      <c r="D269" s="37" t="s">
        <v>426</v>
      </c>
      <c r="E269" s="37" t="s">
        <v>30</v>
      </c>
      <c r="F269" s="37" t="s">
        <v>20</v>
      </c>
      <c r="G269" s="35">
        <v>393</v>
      </c>
      <c r="H269" s="36">
        <v>100000</v>
      </c>
    </row>
    <row r="270" spans="1:8" x14ac:dyDescent="0.35">
      <c r="A270">
        <v>269</v>
      </c>
      <c r="B270" t="s">
        <v>997</v>
      </c>
      <c r="C270" s="35" t="s">
        <v>730</v>
      </c>
      <c r="D270" s="37" t="s">
        <v>426</v>
      </c>
      <c r="E270" s="37" t="s">
        <v>30</v>
      </c>
      <c r="F270" s="37" t="s">
        <v>11</v>
      </c>
      <c r="G270" s="35">
        <v>511</v>
      </c>
      <c r="H270" s="36">
        <v>100000</v>
      </c>
    </row>
    <row r="271" spans="1:8" x14ac:dyDescent="0.35">
      <c r="A271">
        <v>270</v>
      </c>
      <c r="B271" t="s">
        <v>997</v>
      </c>
      <c r="C271" s="35" t="s">
        <v>731</v>
      </c>
      <c r="D271" s="37" t="s">
        <v>426</v>
      </c>
      <c r="E271" s="37" t="s">
        <v>30</v>
      </c>
      <c r="F271" s="37" t="s">
        <v>15</v>
      </c>
      <c r="G271" s="35">
        <v>940</v>
      </c>
      <c r="H271" s="36">
        <v>100000</v>
      </c>
    </row>
    <row r="272" spans="1:8" x14ac:dyDescent="0.35">
      <c r="A272">
        <v>271</v>
      </c>
      <c r="B272" t="s">
        <v>997</v>
      </c>
      <c r="C272" s="35" t="s">
        <v>732</v>
      </c>
      <c r="D272" s="37" t="s">
        <v>426</v>
      </c>
      <c r="E272" s="37" t="s">
        <v>30</v>
      </c>
      <c r="F272" s="37" t="s">
        <v>12</v>
      </c>
      <c r="G272" s="35">
        <v>25</v>
      </c>
      <c r="H272" s="36">
        <v>100000</v>
      </c>
    </row>
    <row r="273" spans="1:8" x14ac:dyDescent="0.35">
      <c r="A273">
        <v>272</v>
      </c>
      <c r="B273" t="s">
        <v>997</v>
      </c>
      <c r="C273" s="35" t="s">
        <v>733</v>
      </c>
      <c r="D273" s="37" t="s">
        <v>426</v>
      </c>
      <c r="E273" s="37" t="s">
        <v>30</v>
      </c>
      <c r="F273" s="37" t="s">
        <v>19</v>
      </c>
      <c r="G273" s="35">
        <v>374</v>
      </c>
      <c r="H273" s="36">
        <v>100000</v>
      </c>
    </row>
    <row r="274" spans="1:8" x14ac:dyDescent="0.35">
      <c r="A274">
        <v>273</v>
      </c>
      <c r="B274" t="s">
        <v>998</v>
      </c>
      <c r="C274" s="71" t="s">
        <v>734</v>
      </c>
      <c r="D274" s="72" t="s">
        <v>428</v>
      </c>
      <c r="E274" s="72" t="s">
        <v>30</v>
      </c>
      <c r="F274" s="72" t="s">
        <v>20</v>
      </c>
      <c r="G274" s="71">
        <v>200</v>
      </c>
      <c r="H274" s="73">
        <v>210000</v>
      </c>
    </row>
    <row r="275" spans="1:8" x14ac:dyDescent="0.35">
      <c r="A275">
        <v>274</v>
      </c>
      <c r="B275" t="s">
        <v>998</v>
      </c>
      <c r="C275" s="71" t="s">
        <v>735</v>
      </c>
      <c r="D275" s="72" t="s">
        <v>428</v>
      </c>
      <c r="E275" s="72" t="s">
        <v>30</v>
      </c>
      <c r="F275" s="72" t="s">
        <v>11</v>
      </c>
      <c r="G275" s="71">
        <v>255</v>
      </c>
      <c r="H275" s="73">
        <v>210000</v>
      </c>
    </row>
    <row r="276" spans="1:8" x14ac:dyDescent="0.35">
      <c r="A276">
        <v>275</v>
      </c>
      <c r="B276" t="s">
        <v>998</v>
      </c>
      <c r="C276" s="71" t="s">
        <v>736</v>
      </c>
      <c r="D276" s="72" t="s">
        <v>428</v>
      </c>
      <c r="E276" s="72" t="s">
        <v>30</v>
      </c>
      <c r="F276" s="72" t="s">
        <v>15</v>
      </c>
      <c r="G276" s="71">
        <f>203-65</f>
        <v>138</v>
      </c>
      <c r="H276" s="73">
        <v>210000</v>
      </c>
    </row>
    <row r="277" spans="1:8" x14ac:dyDescent="0.35">
      <c r="A277">
        <v>276</v>
      </c>
      <c r="B277" t="s">
        <v>998</v>
      </c>
      <c r="C277" s="71" t="s">
        <v>737</v>
      </c>
      <c r="D277" s="72" t="s">
        <v>428</v>
      </c>
      <c r="E277" s="72" t="s">
        <v>30</v>
      </c>
      <c r="F277" s="72" t="s">
        <v>12</v>
      </c>
      <c r="G277" s="71">
        <v>207</v>
      </c>
      <c r="H277" s="73">
        <v>210000</v>
      </c>
    </row>
    <row r="278" spans="1:8" x14ac:dyDescent="0.35">
      <c r="A278">
        <v>277</v>
      </c>
      <c r="B278" t="s">
        <v>998</v>
      </c>
      <c r="C278" s="71" t="s">
        <v>738</v>
      </c>
      <c r="D278" s="72" t="s">
        <v>428</v>
      </c>
      <c r="E278" s="72" t="s">
        <v>30</v>
      </c>
      <c r="F278" s="72" t="s">
        <v>19</v>
      </c>
      <c r="G278" s="71">
        <v>189</v>
      </c>
      <c r="H278" s="73">
        <v>210000</v>
      </c>
    </row>
    <row r="279" spans="1:8" x14ac:dyDescent="0.35">
      <c r="A279">
        <v>278</v>
      </c>
      <c r="B279" t="s">
        <v>998</v>
      </c>
      <c r="C279" s="71" t="s">
        <v>739</v>
      </c>
      <c r="D279" s="72" t="s">
        <v>428</v>
      </c>
      <c r="E279" s="72" t="s">
        <v>450</v>
      </c>
      <c r="F279" s="72" t="s">
        <v>20</v>
      </c>
      <c r="G279" s="71">
        <v>117</v>
      </c>
      <c r="H279" s="73">
        <v>210000</v>
      </c>
    </row>
    <row r="280" spans="1:8" x14ac:dyDescent="0.35">
      <c r="A280">
        <v>279</v>
      </c>
      <c r="B280" t="s">
        <v>998</v>
      </c>
      <c r="C280" s="71" t="s">
        <v>740</v>
      </c>
      <c r="D280" s="72" t="s">
        <v>428</v>
      </c>
      <c r="E280" s="72" t="s">
        <v>450</v>
      </c>
      <c r="F280" s="72" t="s">
        <v>11</v>
      </c>
      <c r="G280" s="71">
        <v>255</v>
      </c>
      <c r="H280" s="73">
        <v>210000</v>
      </c>
    </row>
    <row r="281" spans="1:8" x14ac:dyDescent="0.35">
      <c r="A281">
        <v>280</v>
      </c>
      <c r="B281" t="s">
        <v>998</v>
      </c>
      <c r="C281" s="71" t="s">
        <v>741</v>
      </c>
      <c r="D281" s="72" t="s">
        <v>428</v>
      </c>
      <c r="E281" s="72" t="s">
        <v>450</v>
      </c>
      <c r="F281" s="72" t="s">
        <v>15</v>
      </c>
      <c r="G281" s="71">
        <v>116</v>
      </c>
      <c r="H281" s="73">
        <v>210000</v>
      </c>
    </row>
    <row r="282" spans="1:8" x14ac:dyDescent="0.35">
      <c r="A282">
        <v>281</v>
      </c>
      <c r="B282" t="s">
        <v>998</v>
      </c>
      <c r="C282" s="71" t="s">
        <v>742</v>
      </c>
      <c r="D282" s="72" t="s">
        <v>428</v>
      </c>
      <c r="E282" s="72" t="s">
        <v>450</v>
      </c>
      <c r="F282" s="72" t="s">
        <v>12</v>
      </c>
      <c r="G282" s="71">
        <v>250</v>
      </c>
      <c r="H282" s="73">
        <v>210000</v>
      </c>
    </row>
    <row r="283" spans="1:8" x14ac:dyDescent="0.35">
      <c r="A283">
        <v>282</v>
      </c>
      <c r="B283" t="s">
        <v>998</v>
      </c>
      <c r="C283" s="71" t="s">
        <v>743</v>
      </c>
      <c r="D283" s="72" t="s">
        <v>428</v>
      </c>
      <c r="E283" s="72" t="s">
        <v>450</v>
      </c>
      <c r="F283" s="72" t="s">
        <v>19</v>
      </c>
      <c r="G283" s="71">
        <v>257</v>
      </c>
      <c r="H283" s="73">
        <v>210000</v>
      </c>
    </row>
    <row r="284" spans="1:8" x14ac:dyDescent="0.35">
      <c r="A284">
        <v>283</v>
      </c>
      <c r="B284" t="s">
        <v>998</v>
      </c>
      <c r="C284" s="71" t="s">
        <v>744</v>
      </c>
      <c r="D284" s="72" t="s">
        <v>431</v>
      </c>
      <c r="E284" s="72" t="s">
        <v>9</v>
      </c>
      <c r="F284" s="72" t="s">
        <v>20</v>
      </c>
      <c r="G284" s="71">
        <v>129</v>
      </c>
      <c r="H284" s="73">
        <v>260000</v>
      </c>
    </row>
    <row r="285" spans="1:8" x14ac:dyDescent="0.35">
      <c r="A285">
        <v>284</v>
      </c>
      <c r="B285" t="s">
        <v>998</v>
      </c>
      <c r="C285" s="71" t="s">
        <v>745</v>
      </c>
      <c r="D285" s="72" t="s">
        <v>431</v>
      </c>
      <c r="E285" s="72" t="s">
        <v>9</v>
      </c>
      <c r="F285" s="72" t="s">
        <v>11</v>
      </c>
      <c r="G285" s="71">
        <v>188</v>
      </c>
      <c r="H285" s="73">
        <v>260000</v>
      </c>
    </row>
    <row r="286" spans="1:8" x14ac:dyDescent="0.35">
      <c r="A286">
        <v>285</v>
      </c>
      <c r="B286" t="s">
        <v>998</v>
      </c>
      <c r="C286" s="71" t="s">
        <v>746</v>
      </c>
      <c r="D286" s="72" t="s">
        <v>431</v>
      </c>
      <c r="E286" s="72" t="s">
        <v>9</v>
      </c>
      <c r="F286" s="72" t="s">
        <v>15</v>
      </c>
      <c r="G286" s="71">
        <v>206</v>
      </c>
      <c r="H286" s="73">
        <v>260000</v>
      </c>
    </row>
    <row r="287" spans="1:8" x14ac:dyDescent="0.35">
      <c r="A287">
        <v>286</v>
      </c>
      <c r="B287" t="s">
        <v>998</v>
      </c>
      <c r="C287" s="71" t="s">
        <v>747</v>
      </c>
      <c r="D287" s="72" t="s">
        <v>431</v>
      </c>
      <c r="E287" s="72" t="s">
        <v>9</v>
      </c>
      <c r="F287" s="72" t="s">
        <v>12</v>
      </c>
      <c r="G287" s="71">
        <v>278</v>
      </c>
      <c r="H287" s="73">
        <v>260000</v>
      </c>
    </row>
    <row r="288" spans="1:8" x14ac:dyDescent="0.35">
      <c r="A288">
        <v>287</v>
      </c>
      <c r="B288" t="s">
        <v>998</v>
      </c>
      <c r="C288" s="71" t="s">
        <v>748</v>
      </c>
      <c r="D288" s="72" t="s">
        <v>431</v>
      </c>
      <c r="E288" s="72" t="s">
        <v>9</v>
      </c>
      <c r="F288" s="72" t="s">
        <v>19</v>
      </c>
      <c r="G288" s="71">
        <v>213</v>
      </c>
      <c r="H288" s="73">
        <v>260000</v>
      </c>
    </row>
    <row r="289" spans="1:8" x14ac:dyDescent="0.35">
      <c r="A289">
        <v>288</v>
      </c>
      <c r="B289" t="s">
        <v>998</v>
      </c>
      <c r="C289" s="71" t="s">
        <v>749</v>
      </c>
      <c r="D289" s="72" t="s">
        <v>431</v>
      </c>
      <c r="E289" s="72" t="s">
        <v>30</v>
      </c>
      <c r="F289" s="72" t="s">
        <v>20</v>
      </c>
      <c r="G289" s="71">
        <v>111</v>
      </c>
      <c r="H289" s="73">
        <v>260000</v>
      </c>
    </row>
    <row r="290" spans="1:8" x14ac:dyDescent="0.35">
      <c r="A290">
        <v>289</v>
      </c>
      <c r="B290" t="s">
        <v>998</v>
      </c>
      <c r="C290" s="71" t="s">
        <v>750</v>
      </c>
      <c r="D290" s="72" t="s">
        <v>431</v>
      </c>
      <c r="E290" s="72" t="s">
        <v>30</v>
      </c>
      <c r="F290" s="72" t="s">
        <v>11</v>
      </c>
      <c r="G290" s="71">
        <v>103</v>
      </c>
      <c r="H290" s="73">
        <v>260000</v>
      </c>
    </row>
    <row r="291" spans="1:8" x14ac:dyDescent="0.35">
      <c r="A291">
        <v>290</v>
      </c>
      <c r="B291" t="s">
        <v>998</v>
      </c>
      <c r="C291" s="71" t="s">
        <v>751</v>
      </c>
      <c r="D291" s="72" t="s">
        <v>431</v>
      </c>
      <c r="E291" s="72" t="s">
        <v>30</v>
      </c>
      <c r="F291" s="72" t="s">
        <v>15</v>
      </c>
      <c r="G291" s="71">
        <v>226</v>
      </c>
      <c r="H291" s="73">
        <v>260000</v>
      </c>
    </row>
    <row r="292" spans="1:8" x14ac:dyDescent="0.35">
      <c r="A292">
        <v>291</v>
      </c>
      <c r="B292" t="s">
        <v>998</v>
      </c>
      <c r="C292" s="71" t="s">
        <v>752</v>
      </c>
      <c r="D292" s="72" t="s">
        <v>431</v>
      </c>
      <c r="E292" s="72" t="s">
        <v>30</v>
      </c>
      <c r="F292" s="72" t="s">
        <v>12</v>
      </c>
      <c r="G292" s="71">
        <v>233</v>
      </c>
      <c r="H292" s="73">
        <v>260000</v>
      </c>
    </row>
    <row r="293" spans="1:8" x14ac:dyDescent="0.35">
      <c r="A293">
        <v>292</v>
      </c>
      <c r="B293" t="s">
        <v>998</v>
      </c>
      <c r="C293" s="71" t="s">
        <v>753</v>
      </c>
      <c r="D293" s="72" t="s">
        <v>458</v>
      </c>
      <c r="E293" s="72" t="s">
        <v>9</v>
      </c>
      <c r="F293" s="72" t="s">
        <v>20</v>
      </c>
      <c r="G293" s="71">
        <v>109</v>
      </c>
      <c r="H293" s="73">
        <v>220000</v>
      </c>
    </row>
    <row r="294" spans="1:8" x14ac:dyDescent="0.35">
      <c r="A294">
        <v>293</v>
      </c>
      <c r="B294" t="s">
        <v>998</v>
      </c>
      <c r="C294" s="71" t="s">
        <v>754</v>
      </c>
      <c r="D294" s="72" t="s">
        <v>458</v>
      </c>
      <c r="E294" s="72" t="s">
        <v>9</v>
      </c>
      <c r="F294" s="72" t="s">
        <v>11</v>
      </c>
      <c r="G294" s="71">
        <v>264</v>
      </c>
      <c r="H294" s="73">
        <v>220000</v>
      </c>
    </row>
    <row r="295" spans="1:8" x14ac:dyDescent="0.35">
      <c r="A295">
        <v>294</v>
      </c>
      <c r="B295" t="s">
        <v>998</v>
      </c>
      <c r="C295" s="71" t="s">
        <v>755</v>
      </c>
      <c r="D295" s="72" t="s">
        <v>458</v>
      </c>
      <c r="E295" s="72" t="s">
        <v>9</v>
      </c>
      <c r="F295" s="72" t="s">
        <v>15</v>
      </c>
      <c r="G295" s="71">
        <v>260</v>
      </c>
      <c r="H295" s="73">
        <v>220000</v>
      </c>
    </row>
    <row r="296" spans="1:8" x14ac:dyDescent="0.35">
      <c r="A296">
        <v>295</v>
      </c>
      <c r="B296" t="s">
        <v>998</v>
      </c>
      <c r="C296" s="71" t="s">
        <v>756</v>
      </c>
      <c r="D296" s="72" t="s">
        <v>458</v>
      </c>
      <c r="E296" s="72" t="s">
        <v>8</v>
      </c>
      <c r="F296" s="72" t="s">
        <v>20</v>
      </c>
      <c r="G296" s="71">
        <v>144</v>
      </c>
      <c r="H296" s="73">
        <v>220000</v>
      </c>
    </row>
    <row r="297" spans="1:8" x14ac:dyDescent="0.35">
      <c r="A297">
        <v>296</v>
      </c>
      <c r="B297" t="s">
        <v>998</v>
      </c>
      <c r="C297" s="71" t="s">
        <v>757</v>
      </c>
      <c r="D297" s="72" t="s">
        <v>458</v>
      </c>
      <c r="E297" s="72" t="s">
        <v>8</v>
      </c>
      <c r="F297" s="72" t="s">
        <v>11</v>
      </c>
      <c r="G297" s="71">
        <v>112</v>
      </c>
      <c r="H297" s="73">
        <v>220000</v>
      </c>
    </row>
    <row r="298" spans="1:8" x14ac:dyDescent="0.35">
      <c r="A298">
        <v>297</v>
      </c>
      <c r="B298" t="s">
        <v>998</v>
      </c>
      <c r="C298" s="71" t="s">
        <v>758</v>
      </c>
      <c r="D298" s="72" t="s">
        <v>458</v>
      </c>
      <c r="E298" s="72" t="s">
        <v>8</v>
      </c>
      <c r="F298" s="72" t="s">
        <v>15</v>
      </c>
      <c r="G298" s="71">
        <v>262</v>
      </c>
      <c r="H298" s="73">
        <v>220000</v>
      </c>
    </row>
    <row r="299" spans="1:8" x14ac:dyDescent="0.35">
      <c r="A299">
        <v>298</v>
      </c>
      <c r="B299" t="s">
        <v>998</v>
      </c>
      <c r="C299" s="71" t="s">
        <v>759</v>
      </c>
      <c r="D299" s="72" t="s">
        <v>459</v>
      </c>
      <c r="E299" s="72" t="s">
        <v>460</v>
      </c>
      <c r="F299" s="72" t="s">
        <v>20</v>
      </c>
      <c r="G299" s="71">
        <v>191</v>
      </c>
      <c r="H299" s="73">
        <v>291000</v>
      </c>
    </row>
    <row r="300" spans="1:8" x14ac:dyDescent="0.35">
      <c r="A300">
        <v>299</v>
      </c>
      <c r="B300" t="s">
        <v>998</v>
      </c>
      <c r="C300" s="71" t="s">
        <v>760</v>
      </c>
      <c r="D300" s="72" t="s">
        <v>459</v>
      </c>
      <c r="E300" s="72" t="s">
        <v>460</v>
      </c>
      <c r="F300" s="72" t="s">
        <v>11</v>
      </c>
      <c r="G300" s="71">
        <v>147</v>
      </c>
      <c r="H300" s="73">
        <v>291000</v>
      </c>
    </row>
    <row r="301" spans="1:8" x14ac:dyDescent="0.35">
      <c r="A301">
        <v>300</v>
      </c>
      <c r="B301" t="s">
        <v>998</v>
      </c>
      <c r="C301" s="71" t="s">
        <v>761</v>
      </c>
      <c r="D301" s="72" t="s">
        <v>459</v>
      </c>
      <c r="E301" s="72" t="s">
        <v>460</v>
      </c>
      <c r="F301" s="72" t="s">
        <v>15</v>
      </c>
      <c r="G301" s="71">
        <v>184</v>
      </c>
      <c r="H301" s="73">
        <v>291000</v>
      </c>
    </row>
    <row r="302" spans="1:8" x14ac:dyDescent="0.35">
      <c r="A302">
        <v>301</v>
      </c>
      <c r="B302" t="s">
        <v>998</v>
      </c>
      <c r="C302" s="71" t="s">
        <v>762</v>
      </c>
      <c r="D302" s="72" t="s">
        <v>459</v>
      </c>
      <c r="E302" s="72" t="s">
        <v>461</v>
      </c>
      <c r="F302" s="72" t="s">
        <v>20</v>
      </c>
      <c r="G302" s="71">
        <v>272</v>
      </c>
      <c r="H302" s="73">
        <v>291000</v>
      </c>
    </row>
    <row r="303" spans="1:8" x14ac:dyDescent="0.35">
      <c r="A303">
        <v>302</v>
      </c>
      <c r="B303" t="s">
        <v>998</v>
      </c>
      <c r="C303" s="71" t="s">
        <v>763</v>
      </c>
      <c r="D303" s="72" t="s">
        <v>459</v>
      </c>
      <c r="E303" s="72" t="s">
        <v>461</v>
      </c>
      <c r="F303" s="72" t="s">
        <v>11</v>
      </c>
      <c r="G303" s="71">
        <v>261</v>
      </c>
      <c r="H303" s="73">
        <v>291000</v>
      </c>
    </row>
    <row r="304" spans="1:8" x14ac:dyDescent="0.35">
      <c r="A304">
        <v>303</v>
      </c>
      <c r="B304" t="s">
        <v>998</v>
      </c>
      <c r="C304" s="71" t="s">
        <v>764</v>
      </c>
      <c r="D304" s="72" t="s">
        <v>459</v>
      </c>
      <c r="E304" s="72" t="s">
        <v>461</v>
      </c>
      <c r="F304" s="72" t="s">
        <v>15</v>
      </c>
      <c r="G304" s="71">
        <v>123</v>
      </c>
      <c r="H304" s="73">
        <v>291000</v>
      </c>
    </row>
    <row r="305" spans="1:8" x14ac:dyDescent="0.35">
      <c r="A305">
        <v>304</v>
      </c>
      <c r="B305" t="s">
        <v>999</v>
      </c>
      <c r="C305" s="68" t="s">
        <v>600</v>
      </c>
      <c r="D305" s="69" t="s">
        <v>423</v>
      </c>
      <c r="E305" s="69" t="s">
        <v>9</v>
      </c>
      <c r="F305" s="69" t="s">
        <v>20</v>
      </c>
      <c r="G305" s="68"/>
      <c r="H305" s="70">
        <v>250000</v>
      </c>
    </row>
    <row r="306" spans="1:8" x14ac:dyDescent="0.35">
      <c r="A306">
        <v>305</v>
      </c>
      <c r="B306" t="s">
        <v>999</v>
      </c>
      <c r="C306" s="68" t="s">
        <v>601</v>
      </c>
      <c r="D306" s="69" t="s">
        <v>423</v>
      </c>
      <c r="E306" s="69" t="s">
        <v>9</v>
      </c>
      <c r="F306" s="69" t="s">
        <v>11</v>
      </c>
      <c r="G306" s="68"/>
      <c r="H306" s="70">
        <v>250000</v>
      </c>
    </row>
    <row r="307" spans="1:8" x14ac:dyDescent="0.35">
      <c r="A307">
        <v>306</v>
      </c>
      <c r="B307" t="s">
        <v>999</v>
      </c>
      <c r="C307" s="68" t="s">
        <v>602</v>
      </c>
      <c r="D307" s="69" t="s">
        <v>423</v>
      </c>
      <c r="E307" s="69" t="s">
        <v>9</v>
      </c>
      <c r="F307" s="69" t="s">
        <v>15</v>
      </c>
      <c r="G307" s="68"/>
      <c r="H307" s="70">
        <v>250000</v>
      </c>
    </row>
    <row r="308" spans="1:8" x14ac:dyDescent="0.35">
      <c r="A308">
        <v>307</v>
      </c>
      <c r="B308" t="s">
        <v>999</v>
      </c>
      <c r="C308" s="68" t="s">
        <v>603</v>
      </c>
      <c r="D308" s="69" t="s">
        <v>423</v>
      </c>
      <c r="E308" s="69" t="s">
        <v>9</v>
      </c>
      <c r="F308" s="69" t="s">
        <v>12</v>
      </c>
      <c r="G308" s="68">
        <f>Product!G143-Import_Detail!G143</f>
        <v>301</v>
      </c>
      <c r="H308" s="70">
        <v>250000</v>
      </c>
    </row>
    <row r="309" spans="1:8" x14ac:dyDescent="0.35">
      <c r="A309">
        <v>308</v>
      </c>
      <c r="B309" t="s">
        <v>999</v>
      </c>
      <c r="C309" s="68" t="s">
        <v>604</v>
      </c>
      <c r="D309" s="69" t="s">
        <v>423</v>
      </c>
      <c r="E309" s="69" t="s">
        <v>9</v>
      </c>
      <c r="F309" s="69" t="s">
        <v>19</v>
      </c>
      <c r="G309" s="68">
        <f>Product!G144-Import_Detail!G144</f>
        <v>78</v>
      </c>
      <c r="H309" s="70">
        <v>250000</v>
      </c>
    </row>
    <row r="310" spans="1:8" x14ac:dyDescent="0.35">
      <c r="A310">
        <v>309</v>
      </c>
      <c r="B310" t="s">
        <v>999</v>
      </c>
      <c r="C310" s="68" t="s">
        <v>605</v>
      </c>
      <c r="D310" s="69" t="s">
        <v>423</v>
      </c>
      <c r="E310" s="69" t="s">
        <v>450</v>
      </c>
      <c r="F310" s="69" t="s">
        <v>20</v>
      </c>
      <c r="G310" s="68">
        <f>Product!G145-Import_Detail!G145</f>
        <v>298</v>
      </c>
      <c r="H310" s="70">
        <v>250000</v>
      </c>
    </row>
    <row r="311" spans="1:8" x14ac:dyDescent="0.35">
      <c r="A311">
        <v>310</v>
      </c>
      <c r="B311" t="s">
        <v>999</v>
      </c>
      <c r="C311" s="68" t="s">
        <v>606</v>
      </c>
      <c r="D311" s="69" t="s">
        <v>423</v>
      </c>
      <c r="E311" s="69" t="s">
        <v>450</v>
      </c>
      <c r="F311" s="69" t="s">
        <v>11</v>
      </c>
      <c r="G311" s="68">
        <f>Product!G146-Import_Detail!G146</f>
        <v>297</v>
      </c>
      <c r="H311" s="70">
        <v>250000</v>
      </c>
    </row>
    <row r="312" spans="1:8" x14ac:dyDescent="0.35">
      <c r="A312">
        <v>311</v>
      </c>
      <c r="B312" t="s">
        <v>999</v>
      </c>
      <c r="C312" s="68" t="s">
        <v>607</v>
      </c>
      <c r="D312" s="69" t="s">
        <v>423</v>
      </c>
      <c r="E312" s="69" t="s">
        <v>450</v>
      </c>
      <c r="F312" s="69" t="s">
        <v>15</v>
      </c>
      <c r="G312" s="68">
        <f>Product!G147-Import_Detail!G147</f>
        <v>117</v>
      </c>
      <c r="H312" s="70">
        <v>250000</v>
      </c>
    </row>
    <row r="313" spans="1:8" x14ac:dyDescent="0.35">
      <c r="A313">
        <v>312</v>
      </c>
      <c r="B313" t="s">
        <v>999</v>
      </c>
      <c r="C313" s="68" t="s">
        <v>608</v>
      </c>
      <c r="D313" s="69" t="s">
        <v>423</v>
      </c>
      <c r="E313" s="69" t="s">
        <v>450</v>
      </c>
      <c r="F313" s="69" t="s">
        <v>12</v>
      </c>
      <c r="G313" s="68">
        <f>Product!G148-Import_Detail!G148</f>
        <v>211</v>
      </c>
      <c r="H313" s="70">
        <v>250000</v>
      </c>
    </row>
    <row r="314" spans="1:8" x14ac:dyDescent="0.35">
      <c r="A314">
        <v>313</v>
      </c>
      <c r="B314" t="s">
        <v>999</v>
      </c>
      <c r="C314" s="68" t="s">
        <v>609</v>
      </c>
      <c r="D314" s="69" t="s">
        <v>423</v>
      </c>
      <c r="E314" s="69" t="s">
        <v>450</v>
      </c>
      <c r="F314" s="69" t="s">
        <v>19</v>
      </c>
      <c r="G314" s="68">
        <f>Product!G149-Import_Detail!G149</f>
        <v>81</v>
      </c>
      <c r="H314" s="70">
        <v>250000</v>
      </c>
    </row>
    <row r="315" spans="1:8" x14ac:dyDescent="0.35">
      <c r="A315">
        <v>314</v>
      </c>
      <c r="B315" t="s">
        <v>999</v>
      </c>
      <c r="C315" s="68" t="s">
        <v>610</v>
      </c>
      <c r="D315" s="69" t="s">
        <v>424</v>
      </c>
      <c r="E315" s="69" t="s">
        <v>451</v>
      </c>
      <c r="F315" s="69" t="s">
        <v>20</v>
      </c>
      <c r="G315" s="68">
        <f>Product!G150-Import_Detail!G150</f>
        <v>275</v>
      </c>
      <c r="H315" s="70">
        <v>250000</v>
      </c>
    </row>
    <row r="316" spans="1:8" x14ac:dyDescent="0.35">
      <c r="A316">
        <v>315</v>
      </c>
      <c r="B316" t="s">
        <v>999</v>
      </c>
      <c r="C316" s="68" t="s">
        <v>611</v>
      </c>
      <c r="D316" s="69" t="s">
        <v>424</v>
      </c>
      <c r="E316" s="69" t="s">
        <v>451</v>
      </c>
      <c r="F316" s="69" t="s">
        <v>11</v>
      </c>
      <c r="G316" s="68">
        <f>Product!G151-Import_Detail!G151</f>
        <v>616</v>
      </c>
      <c r="H316" s="70">
        <v>250000</v>
      </c>
    </row>
    <row r="317" spans="1:8" x14ac:dyDescent="0.35">
      <c r="A317">
        <v>316</v>
      </c>
      <c r="B317" t="s">
        <v>999</v>
      </c>
      <c r="C317" s="68" t="s">
        <v>612</v>
      </c>
      <c r="D317" s="69" t="s">
        <v>424</v>
      </c>
      <c r="E317" s="69" t="s">
        <v>451</v>
      </c>
      <c r="F317" s="69" t="s">
        <v>15</v>
      </c>
      <c r="G317" s="68">
        <f>Product!G152-Import_Detail!G152</f>
        <v>225</v>
      </c>
      <c r="H317" s="70">
        <v>250000</v>
      </c>
    </row>
    <row r="318" spans="1:8" x14ac:dyDescent="0.35">
      <c r="A318">
        <v>317</v>
      </c>
      <c r="B318" t="s">
        <v>999</v>
      </c>
      <c r="C318" s="68" t="s">
        <v>613</v>
      </c>
      <c r="D318" s="69" t="s">
        <v>424</v>
      </c>
      <c r="E318" s="69" t="s">
        <v>451</v>
      </c>
      <c r="F318" s="69" t="s">
        <v>12</v>
      </c>
      <c r="G318" s="68">
        <f>Product!G153-Import_Detail!G153</f>
        <v>127</v>
      </c>
      <c r="H318" s="70">
        <v>250000</v>
      </c>
    </row>
    <row r="319" spans="1:8" x14ac:dyDescent="0.35">
      <c r="A319">
        <v>318</v>
      </c>
      <c r="B319" t="s">
        <v>999</v>
      </c>
      <c r="C319" s="68" t="s">
        <v>614</v>
      </c>
      <c r="D319" s="69" t="s">
        <v>424</v>
      </c>
      <c r="E319" s="69" t="s">
        <v>451</v>
      </c>
      <c r="F319" s="69" t="s">
        <v>19</v>
      </c>
      <c r="G319" s="68">
        <f>Product!G154-Import_Detail!G154</f>
        <v>338</v>
      </c>
      <c r="H319" s="70">
        <v>250000</v>
      </c>
    </row>
    <row r="320" spans="1:8" x14ac:dyDescent="0.35">
      <c r="A320">
        <v>319</v>
      </c>
      <c r="B320" t="s">
        <v>999</v>
      </c>
      <c r="C320" s="68" t="s">
        <v>615</v>
      </c>
      <c r="D320" s="69" t="s">
        <v>424</v>
      </c>
      <c r="E320" s="69" t="s">
        <v>8</v>
      </c>
      <c r="F320" s="69" t="s">
        <v>20</v>
      </c>
      <c r="G320" s="68">
        <f>Product!G155-Import_Detail!G155</f>
        <v>528</v>
      </c>
      <c r="H320" s="70">
        <v>250000</v>
      </c>
    </row>
    <row r="321" spans="1:8" x14ac:dyDescent="0.35">
      <c r="A321">
        <v>320</v>
      </c>
      <c r="B321" t="s">
        <v>999</v>
      </c>
      <c r="C321" s="68" t="s">
        <v>616</v>
      </c>
      <c r="D321" s="69" t="s">
        <v>424</v>
      </c>
      <c r="E321" s="69" t="s">
        <v>8</v>
      </c>
      <c r="F321" s="69" t="s">
        <v>11</v>
      </c>
      <c r="G321" s="68">
        <f>Product!G156-Import_Detail!G156</f>
        <v>266</v>
      </c>
      <c r="H321" s="70">
        <v>250000</v>
      </c>
    </row>
    <row r="322" spans="1:8" x14ac:dyDescent="0.35">
      <c r="A322">
        <v>321</v>
      </c>
      <c r="B322" t="s">
        <v>999</v>
      </c>
      <c r="C322" s="68" t="s">
        <v>617</v>
      </c>
      <c r="D322" s="69" t="s">
        <v>424</v>
      </c>
      <c r="E322" s="69" t="s">
        <v>8</v>
      </c>
      <c r="F322" s="69" t="s">
        <v>15</v>
      </c>
      <c r="G322" s="68">
        <f>Product!G157-Import_Detail!G157</f>
        <v>33</v>
      </c>
      <c r="H322" s="70">
        <v>250000</v>
      </c>
    </row>
    <row r="323" spans="1:8" x14ac:dyDescent="0.35">
      <c r="A323">
        <v>322</v>
      </c>
      <c r="B323" t="s">
        <v>999</v>
      </c>
      <c r="C323" s="68" t="s">
        <v>618</v>
      </c>
      <c r="D323" s="69" t="s">
        <v>424</v>
      </c>
      <c r="E323" s="69" t="s">
        <v>8</v>
      </c>
      <c r="F323" s="69" t="s">
        <v>12</v>
      </c>
      <c r="G323" s="68">
        <f>Product!G158-Import_Detail!G158</f>
        <v>360</v>
      </c>
      <c r="H323" s="70">
        <v>250000</v>
      </c>
    </row>
    <row r="324" spans="1:8" x14ac:dyDescent="0.35">
      <c r="A324">
        <v>323</v>
      </c>
      <c r="B324" t="s">
        <v>999</v>
      </c>
      <c r="C324" s="68" t="s">
        <v>619</v>
      </c>
      <c r="D324" s="69" t="s">
        <v>424</v>
      </c>
      <c r="E324" s="69" t="s">
        <v>8</v>
      </c>
      <c r="F324" s="69" t="s">
        <v>19</v>
      </c>
      <c r="G324" s="68">
        <f>Product!G159-Import_Detail!G159</f>
        <v>83</v>
      </c>
      <c r="H324" s="70">
        <v>250000</v>
      </c>
    </row>
    <row r="325" spans="1:8" x14ac:dyDescent="0.35">
      <c r="A325">
        <v>324</v>
      </c>
      <c r="B325" t="s">
        <v>999</v>
      </c>
      <c r="C325" s="68" t="s">
        <v>620</v>
      </c>
      <c r="D325" s="69" t="s">
        <v>408</v>
      </c>
      <c r="E325" s="69" t="s">
        <v>9</v>
      </c>
      <c r="F325" s="69" t="s">
        <v>20</v>
      </c>
      <c r="G325" s="68">
        <f>Product!G160-Import_Detail!G160</f>
        <v>480</v>
      </c>
      <c r="H325" s="70">
        <v>110000</v>
      </c>
    </row>
    <row r="326" spans="1:8" x14ac:dyDescent="0.35">
      <c r="A326">
        <v>325</v>
      </c>
      <c r="B326" t="s">
        <v>999</v>
      </c>
      <c r="C326" s="68" t="s">
        <v>621</v>
      </c>
      <c r="D326" s="69" t="s">
        <v>408</v>
      </c>
      <c r="E326" s="69" t="s">
        <v>9</v>
      </c>
      <c r="F326" s="69" t="s">
        <v>11</v>
      </c>
      <c r="G326" s="68">
        <f>Product!G161-Import_Detail!G161</f>
        <v>402</v>
      </c>
      <c r="H326" s="70">
        <v>110000</v>
      </c>
    </row>
    <row r="327" spans="1:8" x14ac:dyDescent="0.35">
      <c r="A327">
        <v>326</v>
      </c>
      <c r="B327" t="s">
        <v>999</v>
      </c>
      <c r="C327" s="68" t="s">
        <v>622</v>
      </c>
      <c r="D327" s="69" t="s">
        <v>408</v>
      </c>
      <c r="E327" s="69" t="s">
        <v>9</v>
      </c>
      <c r="F327" s="69" t="s">
        <v>15</v>
      </c>
      <c r="G327" s="68">
        <f>Product!G162-Import_Detail!G162</f>
        <v>213</v>
      </c>
      <c r="H327" s="70">
        <v>110000</v>
      </c>
    </row>
    <row r="328" spans="1:8" x14ac:dyDescent="0.35">
      <c r="A328">
        <v>327</v>
      </c>
      <c r="B328" t="s">
        <v>999</v>
      </c>
      <c r="C328" s="68" t="s">
        <v>623</v>
      </c>
      <c r="D328" s="69" t="s">
        <v>408</v>
      </c>
      <c r="E328" s="69" t="s">
        <v>9</v>
      </c>
      <c r="F328" s="69" t="s">
        <v>12</v>
      </c>
      <c r="G328" s="68">
        <f>Product!G163-Import_Detail!G163</f>
        <v>339</v>
      </c>
      <c r="H328" s="70">
        <v>110000</v>
      </c>
    </row>
    <row r="329" spans="1:8" x14ac:dyDescent="0.35">
      <c r="A329">
        <v>328</v>
      </c>
      <c r="B329" t="s">
        <v>999</v>
      </c>
      <c r="C329" s="68" t="s">
        <v>624</v>
      </c>
      <c r="D329" s="69" t="s">
        <v>408</v>
      </c>
      <c r="E329" s="69" t="s">
        <v>9</v>
      </c>
      <c r="F329" s="69" t="s">
        <v>19</v>
      </c>
      <c r="G329" s="68">
        <f>Product!G164-Import_Detail!G164</f>
        <v>87</v>
      </c>
      <c r="H329" s="70">
        <v>110000</v>
      </c>
    </row>
    <row r="330" spans="1:8" x14ac:dyDescent="0.35">
      <c r="A330">
        <v>329</v>
      </c>
      <c r="B330" t="s">
        <v>999</v>
      </c>
      <c r="C330" s="68" t="s">
        <v>625</v>
      </c>
      <c r="D330" s="69" t="s">
        <v>408</v>
      </c>
      <c r="E330" s="69" t="s">
        <v>8</v>
      </c>
      <c r="F330" s="69" t="s">
        <v>20</v>
      </c>
      <c r="G330" s="68">
        <f>Product!G165-Import_Detail!G165</f>
        <v>339</v>
      </c>
      <c r="H330" s="70">
        <v>110000</v>
      </c>
    </row>
    <row r="331" spans="1:8" x14ac:dyDescent="0.35">
      <c r="A331">
        <v>330</v>
      </c>
      <c r="B331" t="s">
        <v>999</v>
      </c>
      <c r="C331" s="68" t="s">
        <v>626</v>
      </c>
      <c r="D331" s="69" t="s">
        <v>408</v>
      </c>
      <c r="E331" s="69" t="s">
        <v>8</v>
      </c>
      <c r="F331" s="69" t="s">
        <v>11</v>
      </c>
      <c r="G331" s="68">
        <f>Product!G166-Import_Detail!G166</f>
        <v>48</v>
      </c>
      <c r="H331" s="70">
        <v>110000</v>
      </c>
    </row>
    <row r="332" spans="1:8" x14ac:dyDescent="0.35">
      <c r="A332">
        <v>331</v>
      </c>
      <c r="B332" t="s">
        <v>999</v>
      </c>
      <c r="C332" s="68" t="s">
        <v>627</v>
      </c>
      <c r="D332" s="69" t="s">
        <v>408</v>
      </c>
      <c r="E332" s="69" t="s">
        <v>8</v>
      </c>
      <c r="F332" s="69" t="s">
        <v>15</v>
      </c>
      <c r="G332" s="68">
        <f>Product!G167-Import_Detail!G167</f>
        <v>357</v>
      </c>
      <c r="H332" s="70">
        <v>110000</v>
      </c>
    </row>
    <row r="333" spans="1:8" x14ac:dyDescent="0.35">
      <c r="A333">
        <v>332</v>
      </c>
      <c r="B333" t="s">
        <v>999</v>
      </c>
      <c r="C333" s="68" t="s">
        <v>628</v>
      </c>
      <c r="D333" s="69" t="s">
        <v>408</v>
      </c>
      <c r="E333" s="69" t="s">
        <v>8</v>
      </c>
      <c r="F333" s="69" t="s">
        <v>12</v>
      </c>
      <c r="G333" s="68">
        <f>Product!G168-Import_Detail!G168</f>
        <v>422</v>
      </c>
      <c r="H333" s="70">
        <v>110000</v>
      </c>
    </row>
    <row r="334" spans="1:8" x14ac:dyDescent="0.35">
      <c r="A334">
        <v>333</v>
      </c>
      <c r="B334" t="s">
        <v>999</v>
      </c>
      <c r="C334" s="68" t="s">
        <v>629</v>
      </c>
      <c r="D334" s="69" t="s">
        <v>408</v>
      </c>
      <c r="E334" s="69" t="s">
        <v>8</v>
      </c>
      <c r="F334" s="69" t="s">
        <v>19</v>
      </c>
      <c r="G334" s="68">
        <f>Product!G169-Import_Detail!G169</f>
        <v>50</v>
      </c>
      <c r="H334" s="70">
        <v>110000</v>
      </c>
    </row>
    <row r="335" spans="1:8" x14ac:dyDescent="0.35">
      <c r="A335">
        <v>334</v>
      </c>
      <c r="B335" t="s">
        <v>1000</v>
      </c>
      <c r="C335" s="71" t="s">
        <v>734</v>
      </c>
      <c r="D335" s="72" t="s">
        <v>428</v>
      </c>
      <c r="E335" s="72" t="s">
        <v>30</v>
      </c>
      <c r="F335" s="72" t="s">
        <v>20</v>
      </c>
      <c r="G335" s="71">
        <f>Product!G274-Import_Detail!G274</f>
        <v>252</v>
      </c>
      <c r="H335" s="73">
        <v>210000</v>
      </c>
    </row>
    <row r="336" spans="1:8" x14ac:dyDescent="0.35">
      <c r="A336">
        <v>335</v>
      </c>
      <c r="B336" t="s">
        <v>1000</v>
      </c>
      <c r="C336" s="71" t="s">
        <v>735</v>
      </c>
      <c r="D336" s="72" t="s">
        <v>428</v>
      </c>
      <c r="E336" s="72" t="s">
        <v>30</v>
      </c>
      <c r="F336" s="72" t="s">
        <v>11</v>
      </c>
      <c r="G336" s="71">
        <f>Product!G275-Import_Detail!G275</f>
        <v>162</v>
      </c>
      <c r="H336" s="73">
        <v>210000</v>
      </c>
    </row>
    <row r="337" spans="1:8" x14ac:dyDescent="0.35">
      <c r="A337">
        <v>336</v>
      </c>
      <c r="B337" t="s">
        <v>1000</v>
      </c>
      <c r="C337" s="71" t="s">
        <v>736</v>
      </c>
      <c r="D337" s="72" t="s">
        <v>428</v>
      </c>
      <c r="E337" s="72" t="s">
        <v>30</v>
      </c>
      <c r="F337" s="72" t="s">
        <v>15</v>
      </c>
      <c r="G337" s="71">
        <f>Product!G276-Import_Detail!G276</f>
        <v>393</v>
      </c>
      <c r="H337" s="73">
        <v>210000</v>
      </c>
    </row>
    <row r="338" spans="1:8" x14ac:dyDescent="0.35">
      <c r="A338">
        <v>337</v>
      </c>
      <c r="B338" t="s">
        <v>1000</v>
      </c>
      <c r="C338" s="71" t="s">
        <v>737</v>
      </c>
      <c r="D338" s="72" t="s">
        <v>428</v>
      </c>
      <c r="E338" s="72" t="s">
        <v>30</v>
      </c>
      <c r="F338" s="72" t="s">
        <v>12</v>
      </c>
      <c r="G338" s="71">
        <f>Product!G277-Import_Detail!G277</f>
        <v>81</v>
      </c>
      <c r="H338" s="73">
        <v>210000</v>
      </c>
    </row>
    <row r="339" spans="1:8" x14ac:dyDescent="0.35">
      <c r="A339">
        <v>338</v>
      </c>
      <c r="B339" t="s">
        <v>1000</v>
      </c>
      <c r="C339" s="71" t="s">
        <v>738</v>
      </c>
      <c r="D339" s="72" t="s">
        <v>428</v>
      </c>
      <c r="E339" s="72" t="s">
        <v>30</v>
      </c>
      <c r="F339" s="72" t="s">
        <v>19</v>
      </c>
      <c r="G339" s="71">
        <f>Product!G278-Import_Detail!G278</f>
        <v>406</v>
      </c>
      <c r="H339" s="73">
        <v>210000</v>
      </c>
    </row>
    <row r="340" spans="1:8" x14ac:dyDescent="0.35">
      <c r="A340">
        <v>339</v>
      </c>
      <c r="B340" t="s">
        <v>1000</v>
      </c>
      <c r="C340" s="71" t="s">
        <v>739</v>
      </c>
      <c r="D340" s="72" t="s">
        <v>428</v>
      </c>
      <c r="E340" s="72" t="s">
        <v>450</v>
      </c>
      <c r="F340" s="72" t="s">
        <v>20</v>
      </c>
      <c r="G340" s="71">
        <f>Product!G279-Import_Detail!G279</f>
        <v>370</v>
      </c>
      <c r="H340" s="73">
        <v>210000</v>
      </c>
    </row>
    <row r="341" spans="1:8" x14ac:dyDescent="0.35">
      <c r="A341">
        <v>340</v>
      </c>
      <c r="B341" t="s">
        <v>1000</v>
      </c>
      <c r="C341" s="71" t="s">
        <v>740</v>
      </c>
      <c r="D341" s="72" t="s">
        <v>428</v>
      </c>
      <c r="E341" s="72" t="s">
        <v>450</v>
      </c>
      <c r="F341" s="72" t="s">
        <v>11</v>
      </c>
      <c r="G341" s="71">
        <f>Product!G280-Import_Detail!G280</f>
        <v>280</v>
      </c>
      <c r="H341" s="73">
        <v>210000</v>
      </c>
    </row>
    <row r="342" spans="1:8" x14ac:dyDescent="0.35">
      <c r="A342">
        <v>341</v>
      </c>
      <c r="B342" t="s">
        <v>1000</v>
      </c>
      <c r="C342" s="71" t="s">
        <v>741</v>
      </c>
      <c r="D342" s="72" t="s">
        <v>428</v>
      </c>
      <c r="E342" s="72" t="s">
        <v>450</v>
      </c>
      <c r="F342" s="72" t="s">
        <v>15</v>
      </c>
      <c r="G342" s="71">
        <f>Product!G281-Import_Detail!G281</f>
        <v>225</v>
      </c>
      <c r="H342" s="73">
        <v>210000</v>
      </c>
    </row>
    <row r="343" spans="1:8" x14ac:dyDescent="0.35">
      <c r="A343">
        <v>342</v>
      </c>
      <c r="B343" t="s">
        <v>1000</v>
      </c>
      <c r="C343" s="71" t="s">
        <v>742</v>
      </c>
      <c r="D343" s="72" t="s">
        <v>428</v>
      </c>
      <c r="E343" s="72" t="s">
        <v>450</v>
      </c>
      <c r="F343" s="72" t="s">
        <v>12</v>
      </c>
      <c r="G343" s="71">
        <f>Product!G282-Import_Detail!G282</f>
        <v>196</v>
      </c>
      <c r="H343" s="73">
        <v>210000</v>
      </c>
    </row>
    <row r="344" spans="1:8" x14ac:dyDescent="0.35">
      <c r="A344">
        <v>343</v>
      </c>
      <c r="B344" t="s">
        <v>1000</v>
      </c>
      <c r="C344" s="71" t="s">
        <v>743</v>
      </c>
      <c r="D344" s="72" t="s">
        <v>428</v>
      </c>
      <c r="E344" s="72" t="s">
        <v>450</v>
      </c>
      <c r="F344" s="72" t="s">
        <v>19</v>
      </c>
      <c r="G344" s="71">
        <f>Product!G283-Import_Detail!G283</f>
        <v>75</v>
      </c>
      <c r="H344" s="73">
        <v>210000</v>
      </c>
    </row>
    <row r="345" spans="1:8" x14ac:dyDescent="0.35">
      <c r="A345">
        <v>344</v>
      </c>
      <c r="B345" t="s">
        <v>1000</v>
      </c>
      <c r="C345" s="71" t="s">
        <v>744</v>
      </c>
      <c r="D345" s="72" t="s">
        <v>431</v>
      </c>
      <c r="E345" s="72" t="s">
        <v>9</v>
      </c>
      <c r="F345" s="72" t="s">
        <v>20</v>
      </c>
      <c r="G345" s="71">
        <f>Product!G284-Import_Detail!G284</f>
        <v>67</v>
      </c>
      <c r="H345" s="73">
        <v>260000</v>
      </c>
    </row>
    <row r="346" spans="1:8" x14ac:dyDescent="0.35">
      <c r="A346">
        <v>345</v>
      </c>
      <c r="B346" t="s">
        <v>1000</v>
      </c>
      <c r="C346" s="71" t="s">
        <v>745</v>
      </c>
      <c r="D346" s="72" t="s">
        <v>431</v>
      </c>
      <c r="E346" s="72" t="s">
        <v>9</v>
      </c>
      <c r="F346" s="72" t="s">
        <v>11</v>
      </c>
      <c r="G346" s="71">
        <f>Product!G285-Import_Detail!G285</f>
        <v>531</v>
      </c>
      <c r="H346" s="73">
        <v>260000</v>
      </c>
    </row>
    <row r="347" spans="1:8" x14ac:dyDescent="0.35">
      <c r="A347">
        <v>346</v>
      </c>
      <c r="B347" t="s">
        <v>1000</v>
      </c>
      <c r="C347" s="71" t="s">
        <v>746</v>
      </c>
      <c r="D347" s="72" t="s">
        <v>431</v>
      </c>
      <c r="E347" s="72" t="s">
        <v>9</v>
      </c>
      <c r="F347" s="72" t="s">
        <v>15</v>
      </c>
      <c r="G347" s="71">
        <f>Product!G286-Import_Detail!G286</f>
        <v>372</v>
      </c>
      <c r="H347" s="73">
        <v>260000</v>
      </c>
    </row>
    <row r="348" spans="1:8" x14ac:dyDescent="0.35">
      <c r="A348">
        <v>347</v>
      </c>
      <c r="B348" t="s">
        <v>1000</v>
      </c>
      <c r="C348" s="71" t="s">
        <v>747</v>
      </c>
      <c r="D348" s="72" t="s">
        <v>431</v>
      </c>
      <c r="E348" s="72" t="s">
        <v>9</v>
      </c>
      <c r="F348" s="72" t="s">
        <v>12</v>
      </c>
      <c r="G348" s="71">
        <f>Product!G287-Import_Detail!G287</f>
        <v>176</v>
      </c>
      <c r="H348" s="73">
        <v>260000</v>
      </c>
    </row>
    <row r="349" spans="1:8" x14ac:dyDescent="0.35">
      <c r="A349">
        <v>348</v>
      </c>
      <c r="B349" t="s">
        <v>1000</v>
      </c>
      <c r="C349" s="71" t="s">
        <v>748</v>
      </c>
      <c r="D349" s="72" t="s">
        <v>431</v>
      </c>
      <c r="E349" s="72" t="s">
        <v>9</v>
      </c>
      <c r="F349" s="72" t="s">
        <v>19</v>
      </c>
      <c r="G349" s="71">
        <f>Product!G288-Import_Detail!G288</f>
        <v>291</v>
      </c>
      <c r="H349" s="73">
        <v>260000</v>
      </c>
    </row>
    <row r="350" spans="1:8" x14ac:dyDescent="0.35">
      <c r="A350">
        <v>349</v>
      </c>
      <c r="B350" t="s">
        <v>1000</v>
      </c>
      <c r="C350" s="71" t="s">
        <v>749</v>
      </c>
      <c r="D350" s="72" t="s">
        <v>431</v>
      </c>
      <c r="E350" s="72" t="s">
        <v>30</v>
      </c>
      <c r="F350" s="72" t="s">
        <v>20</v>
      </c>
      <c r="G350" s="71">
        <f>Product!G289-Import_Detail!G289</f>
        <v>81</v>
      </c>
      <c r="H350" s="73">
        <v>260000</v>
      </c>
    </row>
    <row r="351" spans="1:8" x14ac:dyDescent="0.35">
      <c r="A351">
        <v>350</v>
      </c>
      <c r="B351" t="s">
        <v>1000</v>
      </c>
      <c r="C351" s="71" t="s">
        <v>750</v>
      </c>
      <c r="D351" s="72" t="s">
        <v>431</v>
      </c>
      <c r="E351" s="72" t="s">
        <v>30</v>
      </c>
      <c r="F351" s="72" t="s">
        <v>11</v>
      </c>
      <c r="G351" s="71">
        <f>Product!G290-Import_Detail!G290</f>
        <v>351</v>
      </c>
      <c r="H351" s="73">
        <v>260000</v>
      </c>
    </row>
    <row r="352" spans="1:8" x14ac:dyDescent="0.35">
      <c r="A352">
        <v>351</v>
      </c>
      <c r="B352" t="s">
        <v>1000</v>
      </c>
      <c r="C352" s="71" t="s">
        <v>751</v>
      </c>
      <c r="D352" s="72" t="s">
        <v>431</v>
      </c>
      <c r="E352" s="72" t="s">
        <v>30</v>
      </c>
      <c r="F352" s="72" t="s">
        <v>15</v>
      </c>
      <c r="G352" s="71">
        <f>Product!G291-Import_Detail!G291</f>
        <v>47</v>
      </c>
      <c r="H352" s="73">
        <v>260000</v>
      </c>
    </row>
    <row r="353" spans="1:8" x14ac:dyDescent="0.35">
      <c r="A353">
        <v>352</v>
      </c>
      <c r="B353" t="s">
        <v>1000</v>
      </c>
      <c r="C353" s="71" t="s">
        <v>752</v>
      </c>
      <c r="D353" s="72" t="s">
        <v>431</v>
      </c>
      <c r="E353" s="72" t="s">
        <v>30</v>
      </c>
      <c r="F353" s="72" t="s">
        <v>12</v>
      </c>
      <c r="G353" s="71">
        <f>Product!G292-Import_Detail!G292</f>
        <v>32</v>
      </c>
      <c r="H353" s="73">
        <v>260000</v>
      </c>
    </row>
    <row r="354" spans="1:8" x14ac:dyDescent="0.35">
      <c r="A354">
        <v>353</v>
      </c>
      <c r="B354" t="s">
        <v>1000</v>
      </c>
      <c r="C354" s="71" t="s">
        <v>753</v>
      </c>
      <c r="D354" s="72" t="s">
        <v>458</v>
      </c>
      <c r="E354" s="72" t="s">
        <v>9</v>
      </c>
      <c r="F354" s="72" t="s">
        <v>20</v>
      </c>
      <c r="G354" s="71">
        <f>Product!G293-Import_Detail!G293</f>
        <v>251</v>
      </c>
      <c r="H354" s="73">
        <v>220000</v>
      </c>
    </row>
    <row r="355" spans="1:8" x14ac:dyDescent="0.35">
      <c r="A355">
        <v>354</v>
      </c>
      <c r="B355" t="s">
        <v>1000</v>
      </c>
      <c r="C355" s="71" t="s">
        <v>754</v>
      </c>
      <c r="D355" s="72" t="s">
        <v>458</v>
      </c>
      <c r="E355" s="72" t="s">
        <v>9</v>
      </c>
      <c r="F355" s="72" t="s">
        <v>11</v>
      </c>
      <c r="G355" s="71">
        <f>Product!G294-Import_Detail!G294</f>
        <v>7</v>
      </c>
      <c r="H355" s="73">
        <v>220000</v>
      </c>
    </row>
    <row r="356" spans="1:8" x14ac:dyDescent="0.35">
      <c r="A356">
        <v>355</v>
      </c>
      <c r="B356" t="s">
        <v>1000</v>
      </c>
      <c r="C356" s="71" t="s">
        <v>755</v>
      </c>
      <c r="D356" s="72" t="s">
        <v>458</v>
      </c>
      <c r="E356" s="72" t="s">
        <v>9</v>
      </c>
      <c r="F356" s="72" t="s">
        <v>15</v>
      </c>
      <c r="G356" s="71">
        <f>Product!G295-Import_Detail!G295</f>
        <v>20</v>
      </c>
      <c r="H356" s="73">
        <v>220000</v>
      </c>
    </row>
    <row r="357" spans="1:8" x14ac:dyDescent="0.35">
      <c r="A357">
        <v>356</v>
      </c>
      <c r="B357" t="s">
        <v>1000</v>
      </c>
      <c r="C357" s="71" t="s">
        <v>756</v>
      </c>
      <c r="D357" s="72" t="s">
        <v>458</v>
      </c>
      <c r="E357" s="72" t="s">
        <v>8</v>
      </c>
      <c r="F357" s="72" t="s">
        <v>20</v>
      </c>
      <c r="G357" s="71">
        <f>Product!G296-Import_Detail!G296</f>
        <v>220</v>
      </c>
      <c r="H357" s="73">
        <v>220000</v>
      </c>
    </row>
    <row r="358" spans="1:8" x14ac:dyDescent="0.35">
      <c r="A358">
        <v>357</v>
      </c>
      <c r="B358" t="s">
        <v>1000</v>
      </c>
      <c r="C358" s="71" t="s">
        <v>757</v>
      </c>
      <c r="D358" s="72" t="s">
        <v>458</v>
      </c>
      <c r="E358" s="72" t="s">
        <v>8</v>
      </c>
      <c r="F358" s="72" t="s">
        <v>11</v>
      </c>
      <c r="G358" s="71">
        <f>Product!G297-Import_Detail!G297</f>
        <v>402</v>
      </c>
      <c r="H358" s="73">
        <v>220000</v>
      </c>
    </row>
    <row r="359" spans="1:8" x14ac:dyDescent="0.35">
      <c r="A359">
        <v>358</v>
      </c>
      <c r="B359" t="s">
        <v>1000</v>
      </c>
      <c r="C359" s="71" t="s">
        <v>758</v>
      </c>
      <c r="D359" s="72" t="s">
        <v>458</v>
      </c>
      <c r="E359" s="72" t="s">
        <v>8</v>
      </c>
      <c r="F359" s="72" t="s">
        <v>15</v>
      </c>
      <c r="G359" s="71">
        <f>Product!G298-Import_Detail!G298</f>
        <v>234</v>
      </c>
      <c r="H359" s="73">
        <v>220000</v>
      </c>
    </row>
    <row r="360" spans="1:8" x14ac:dyDescent="0.35">
      <c r="A360">
        <v>359</v>
      </c>
      <c r="B360" t="s">
        <v>1000</v>
      </c>
      <c r="C360" s="71" t="s">
        <v>759</v>
      </c>
      <c r="D360" s="72" t="s">
        <v>459</v>
      </c>
      <c r="E360" s="72" t="s">
        <v>460</v>
      </c>
      <c r="F360" s="72" t="s">
        <v>20</v>
      </c>
      <c r="G360" s="71">
        <f>Product!G299-Import_Detail!G299</f>
        <v>325</v>
      </c>
      <c r="H360" s="73">
        <v>291000</v>
      </c>
    </row>
    <row r="361" spans="1:8" x14ac:dyDescent="0.35">
      <c r="A361">
        <v>360</v>
      </c>
      <c r="B361" t="s">
        <v>1000</v>
      </c>
      <c r="C361" s="71" t="s">
        <v>760</v>
      </c>
      <c r="D361" s="72" t="s">
        <v>459</v>
      </c>
      <c r="E361" s="72" t="s">
        <v>460</v>
      </c>
      <c r="F361" s="72" t="s">
        <v>11</v>
      </c>
      <c r="G361" s="71">
        <f>Product!G300-Import_Detail!G300</f>
        <v>390</v>
      </c>
      <c r="H361" s="73">
        <v>291000</v>
      </c>
    </row>
    <row r="362" spans="1:8" x14ac:dyDescent="0.35">
      <c r="A362">
        <v>361</v>
      </c>
      <c r="B362" t="s">
        <v>1000</v>
      </c>
      <c r="C362" s="71" t="s">
        <v>761</v>
      </c>
      <c r="D362" s="72" t="s">
        <v>459</v>
      </c>
      <c r="E362" s="72" t="s">
        <v>460</v>
      </c>
      <c r="F362" s="72" t="s">
        <v>15</v>
      </c>
      <c r="G362" s="71">
        <f>Product!G301-Import_Detail!G301</f>
        <v>129</v>
      </c>
      <c r="H362" s="73">
        <v>291000</v>
      </c>
    </row>
    <row r="363" spans="1:8" x14ac:dyDescent="0.35">
      <c r="A363">
        <v>362</v>
      </c>
      <c r="B363" t="s">
        <v>1000</v>
      </c>
      <c r="C363" s="71" t="s">
        <v>762</v>
      </c>
      <c r="D363" s="72" t="s">
        <v>459</v>
      </c>
      <c r="E363" s="72" t="s">
        <v>461</v>
      </c>
      <c r="F363" s="72" t="s">
        <v>20</v>
      </c>
      <c r="G363" s="71">
        <f>Product!G302-Import_Detail!G302</f>
        <v>40</v>
      </c>
      <c r="H363" s="73">
        <v>291000</v>
      </c>
    </row>
    <row r="364" spans="1:8" x14ac:dyDescent="0.35">
      <c r="A364">
        <v>363</v>
      </c>
      <c r="B364" t="s">
        <v>1000</v>
      </c>
      <c r="C364" s="71" t="s">
        <v>763</v>
      </c>
      <c r="D364" s="72" t="s">
        <v>459</v>
      </c>
      <c r="E364" s="72" t="s">
        <v>461</v>
      </c>
      <c r="F364" s="72" t="s">
        <v>11</v>
      </c>
      <c r="G364" s="71">
        <f>Product!G303-Import_Detail!G303</f>
        <v>88</v>
      </c>
      <c r="H364" s="73">
        <v>291000</v>
      </c>
    </row>
    <row r="365" spans="1:8" x14ac:dyDescent="0.35">
      <c r="A365">
        <v>364</v>
      </c>
      <c r="B365" t="s">
        <v>1000</v>
      </c>
      <c r="C365" s="71" t="s">
        <v>764</v>
      </c>
      <c r="D365" s="72" t="s">
        <v>459</v>
      </c>
      <c r="E365" s="72" t="s">
        <v>461</v>
      </c>
      <c r="F365" s="72" t="s">
        <v>15</v>
      </c>
      <c r="G365" s="71">
        <f>Product!G304-Import_Detail!G304</f>
        <v>289</v>
      </c>
      <c r="H365" s="73">
        <v>291000</v>
      </c>
    </row>
    <row r="366" spans="1:8" x14ac:dyDescent="0.35">
      <c r="A366">
        <v>365</v>
      </c>
      <c r="B366" t="s">
        <v>1001</v>
      </c>
      <c r="C366" s="71" t="s">
        <v>1024</v>
      </c>
      <c r="D366" s="72" t="s">
        <v>1025</v>
      </c>
      <c r="E366" s="72" t="s">
        <v>8</v>
      </c>
      <c r="F366" s="72" t="s">
        <v>1026</v>
      </c>
      <c r="G366" s="71">
        <v>500</v>
      </c>
      <c r="H366" s="73">
        <v>180000</v>
      </c>
    </row>
    <row r="367" spans="1:8" x14ac:dyDescent="0.35">
      <c r="A367">
        <v>366</v>
      </c>
      <c r="B367" t="s">
        <v>1001</v>
      </c>
      <c r="C367" s="65" t="s">
        <v>576</v>
      </c>
      <c r="D367" s="66" t="s">
        <v>413</v>
      </c>
      <c r="E367" s="66" t="s">
        <v>8</v>
      </c>
      <c r="F367" s="66" t="s">
        <v>20</v>
      </c>
      <c r="G367" s="65">
        <f>Product!G116-Import_Detail!G116</f>
        <v>200</v>
      </c>
      <c r="H367" s="67">
        <v>155000</v>
      </c>
    </row>
    <row r="368" spans="1:8" x14ac:dyDescent="0.35">
      <c r="A368">
        <v>367</v>
      </c>
      <c r="B368" t="s">
        <v>1001</v>
      </c>
      <c r="C368" s="65" t="s">
        <v>577</v>
      </c>
      <c r="D368" s="66" t="s">
        <v>413</v>
      </c>
      <c r="E368" s="66" t="s">
        <v>8</v>
      </c>
      <c r="F368" s="66" t="s">
        <v>11</v>
      </c>
      <c r="G368" s="65">
        <f>Product!G117-Import_Detail!G117</f>
        <v>240</v>
      </c>
      <c r="H368" s="67">
        <v>155000</v>
      </c>
    </row>
    <row r="369" spans="1:8" x14ac:dyDescent="0.35">
      <c r="A369">
        <v>368</v>
      </c>
      <c r="B369" t="s">
        <v>1001</v>
      </c>
      <c r="C369" s="65" t="s">
        <v>578</v>
      </c>
      <c r="D369" s="66" t="s">
        <v>413</v>
      </c>
      <c r="E369" s="66" t="s">
        <v>8</v>
      </c>
      <c r="F369" s="66" t="s">
        <v>15</v>
      </c>
      <c r="G369" s="65">
        <f>Product!G118-Import_Detail!G118</f>
        <v>204</v>
      </c>
      <c r="H369" s="67">
        <v>155000</v>
      </c>
    </row>
    <row r="370" spans="1:8" x14ac:dyDescent="0.35">
      <c r="A370">
        <v>369</v>
      </c>
      <c r="B370" t="s">
        <v>1001</v>
      </c>
      <c r="C370" s="65" t="s">
        <v>579</v>
      </c>
      <c r="D370" s="66" t="s">
        <v>413</v>
      </c>
      <c r="E370" s="66" t="s">
        <v>445</v>
      </c>
      <c r="F370" s="66" t="s">
        <v>20</v>
      </c>
      <c r="G370" s="65">
        <f>Product!G119-Import_Detail!G119</f>
        <v>233</v>
      </c>
      <c r="H370" s="67">
        <v>155000</v>
      </c>
    </row>
    <row r="371" spans="1:8" x14ac:dyDescent="0.35">
      <c r="A371">
        <v>370</v>
      </c>
      <c r="B371" t="s">
        <v>1001</v>
      </c>
      <c r="C371" s="65" t="s">
        <v>580</v>
      </c>
      <c r="D371" s="66" t="s">
        <v>413</v>
      </c>
      <c r="E371" s="66" t="s">
        <v>445</v>
      </c>
      <c r="F371" s="66" t="s">
        <v>11</v>
      </c>
      <c r="G371" s="65">
        <f>Product!G120-Import_Detail!G120</f>
        <v>174</v>
      </c>
      <c r="H371" s="67">
        <v>155000</v>
      </c>
    </row>
    <row r="372" spans="1:8" x14ac:dyDescent="0.35">
      <c r="A372">
        <v>371</v>
      </c>
      <c r="B372" t="s">
        <v>1001</v>
      </c>
      <c r="C372" s="65" t="s">
        <v>581</v>
      </c>
      <c r="D372" s="66" t="s">
        <v>413</v>
      </c>
      <c r="E372" s="66" t="s">
        <v>445</v>
      </c>
      <c r="F372" s="66" t="s">
        <v>15</v>
      </c>
      <c r="G372" s="65">
        <f>Product!G121-Import_Detail!G121</f>
        <v>213</v>
      </c>
      <c r="H372" s="67">
        <v>155000</v>
      </c>
    </row>
    <row r="373" spans="1:8" x14ac:dyDescent="0.35">
      <c r="A373">
        <v>372</v>
      </c>
      <c r="B373" t="s">
        <v>1001</v>
      </c>
      <c r="C373" s="65" t="s">
        <v>582</v>
      </c>
      <c r="D373" s="66" t="s">
        <v>417</v>
      </c>
      <c r="E373" s="66" t="s">
        <v>8</v>
      </c>
      <c r="F373" s="66" t="s">
        <v>20</v>
      </c>
      <c r="G373" s="65">
        <f>Product!G122-Import_Detail!G122</f>
        <v>445</v>
      </c>
      <c r="H373" s="67">
        <v>155000</v>
      </c>
    </row>
    <row r="374" spans="1:8" x14ac:dyDescent="0.35">
      <c r="A374">
        <v>373</v>
      </c>
      <c r="B374" t="s">
        <v>1001</v>
      </c>
      <c r="C374" s="65" t="s">
        <v>583</v>
      </c>
      <c r="D374" s="66" t="s">
        <v>417</v>
      </c>
      <c r="E374" s="66" t="s">
        <v>8</v>
      </c>
      <c r="F374" s="66" t="s">
        <v>11</v>
      </c>
      <c r="G374" s="65">
        <f>Product!G123-Import_Detail!G123</f>
        <v>542</v>
      </c>
      <c r="H374" s="67">
        <v>155000</v>
      </c>
    </row>
    <row r="375" spans="1:8" x14ac:dyDescent="0.35">
      <c r="A375">
        <v>374</v>
      </c>
      <c r="B375" t="s">
        <v>1001</v>
      </c>
      <c r="C375" s="65" t="s">
        <v>584</v>
      </c>
      <c r="D375" s="66" t="s">
        <v>417</v>
      </c>
      <c r="E375" s="66" t="s">
        <v>8</v>
      </c>
      <c r="F375" s="66" t="s">
        <v>15</v>
      </c>
      <c r="G375" s="65">
        <f>Product!G124-Import_Detail!G124</f>
        <v>236</v>
      </c>
      <c r="H375" s="67">
        <v>155000</v>
      </c>
    </row>
    <row r="376" spans="1:8" x14ac:dyDescent="0.35">
      <c r="A376">
        <v>375</v>
      </c>
      <c r="B376" t="s">
        <v>1001</v>
      </c>
      <c r="C376" s="65" t="s">
        <v>585</v>
      </c>
      <c r="D376" s="66" t="s">
        <v>417</v>
      </c>
      <c r="E376" s="66" t="s">
        <v>446</v>
      </c>
      <c r="F376" s="66" t="s">
        <v>20</v>
      </c>
      <c r="G376" s="65">
        <f>Product!G125-Import_Detail!G125</f>
        <v>500</v>
      </c>
      <c r="H376" s="67">
        <v>155000</v>
      </c>
    </row>
    <row r="377" spans="1:8" x14ac:dyDescent="0.35">
      <c r="A377">
        <v>376</v>
      </c>
      <c r="B377" t="s">
        <v>1001</v>
      </c>
      <c r="C377" s="65" t="s">
        <v>586</v>
      </c>
      <c r="D377" s="66" t="s">
        <v>417</v>
      </c>
      <c r="E377" s="66" t="s">
        <v>446</v>
      </c>
      <c r="F377" s="66" t="s">
        <v>11</v>
      </c>
      <c r="G377" s="65">
        <f>Product!G126-Import_Detail!G126</f>
        <v>83</v>
      </c>
      <c r="H377" s="67">
        <v>155000</v>
      </c>
    </row>
    <row r="378" spans="1:8" x14ac:dyDescent="0.35">
      <c r="A378">
        <v>377</v>
      </c>
      <c r="B378" t="s">
        <v>1001</v>
      </c>
      <c r="C378" s="65" t="s">
        <v>587</v>
      </c>
      <c r="D378" s="66" t="s">
        <v>417</v>
      </c>
      <c r="E378" s="66" t="s">
        <v>446</v>
      </c>
      <c r="F378" s="66" t="s">
        <v>15</v>
      </c>
      <c r="G378" s="65">
        <f>Product!G127-Import_Detail!G127</f>
        <v>324</v>
      </c>
      <c r="H378" s="67">
        <v>155000</v>
      </c>
    </row>
    <row r="379" spans="1:8" x14ac:dyDescent="0.35">
      <c r="A379">
        <v>378</v>
      </c>
      <c r="B379" t="s">
        <v>1001</v>
      </c>
      <c r="C379" s="65" t="s">
        <v>588</v>
      </c>
      <c r="D379" s="66" t="s">
        <v>412</v>
      </c>
      <c r="E379" s="66" t="s">
        <v>9</v>
      </c>
      <c r="F379" s="66" t="s">
        <v>20</v>
      </c>
      <c r="G379" s="65">
        <f>Product!G128-Import_Detail!G128</f>
        <v>241</v>
      </c>
      <c r="H379" s="67">
        <v>155000</v>
      </c>
    </row>
    <row r="380" spans="1:8" x14ac:dyDescent="0.35">
      <c r="A380">
        <v>379</v>
      </c>
      <c r="B380" t="s">
        <v>1001</v>
      </c>
      <c r="C380" s="65" t="s">
        <v>589</v>
      </c>
      <c r="D380" s="66" t="s">
        <v>412</v>
      </c>
      <c r="E380" s="66" t="s">
        <v>9</v>
      </c>
      <c r="F380" s="66" t="s">
        <v>11</v>
      </c>
      <c r="G380" s="65">
        <f>Product!G129-Import_Detail!G129</f>
        <v>189</v>
      </c>
      <c r="H380" s="67">
        <v>155000</v>
      </c>
    </row>
    <row r="381" spans="1:8" x14ac:dyDescent="0.35">
      <c r="A381">
        <v>380</v>
      </c>
      <c r="B381" t="s">
        <v>1001</v>
      </c>
      <c r="C381" s="65" t="s">
        <v>590</v>
      </c>
      <c r="D381" s="66" t="s">
        <v>412</v>
      </c>
      <c r="E381" s="66" t="s">
        <v>9</v>
      </c>
      <c r="F381" s="66" t="s">
        <v>15</v>
      </c>
      <c r="G381" s="65">
        <f>Product!G130-Import_Detail!G130</f>
        <v>24</v>
      </c>
      <c r="H381" s="67">
        <v>155000</v>
      </c>
    </row>
    <row r="382" spans="1:8" x14ac:dyDescent="0.35">
      <c r="A382">
        <v>381</v>
      </c>
      <c r="B382" t="s">
        <v>1001</v>
      </c>
      <c r="C382" s="65" t="s">
        <v>591</v>
      </c>
      <c r="D382" s="66" t="s">
        <v>412</v>
      </c>
      <c r="E382" s="66" t="s">
        <v>448</v>
      </c>
      <c r="F382" s="66" t="s">
        <v>20</v>
      </c>
      <c r="G382" s="65">
        <f>Product!G131-Import_Detail!G131</f>
        <v>162</v>
      </c>
      <c r="H382" s="67">
        <v>155000</v>
      </c>
    </row>
    <row r="383" spans="1:8" x14ac:dyDescent="0.35">
      <c r="A383">
        <v>382</v>
      </c>
      <c r="B383" t="s">
        <v>1001</v>
      </c>
      <c r="C383" s="65" t="s">
        <v>592</v>
      </c>
      <c r="D383" s="66" t="s">
        <v>412</v>
      </c>
      <c r="E383" s="66" t="s">
        <v>448</v>
      </c>
      <c r="F383" s="66" t="s">
        <v>11</v>
      </c>
      <c r="G383" s="65">
        <f>Product!G132-Import_Detail!G132</f>
        <v>171</v>
      </c>
      <c r="H383" s="67">
        <v>155000</v>
      </c>
    </row>
    <row r="384" spans="1:8" x14ac:dyDescent="0.35">
      <c r="A384">
        <v>383</v>
      </c>
      <c r="B384" t="s">
        <v>1001</v>
      </c>
      <c r="C384" s="65" t="s">
        <v>593</v>
      </c>
      <c r="D384" s="66" t="s">
        <v>412</v>
      </c>
      <c r="E384" s="66" t="s">
        <v>448</v>
      </c>
      <c r="F384" s="66" t="s">
        <v>15</v>
      </c>
      <c r="G384" s="65">
        <f>Product!G133-Import_Detail!G133</f>
        <v>394</v>
      </c>
      <c r="H384" s="67">
        <v>155000</v>
      </c>
    </row>
    <row r="385" spans="1:8" x14ac:dyDescent="0.35">
      <c r="A385">
        <v>384</v>
      </c>
      <c r="B385" t="s">
        <v>1001</v>
      </c>
      <c r="C385" s="65" t="s">
        <v>594</v>
      </c>
      <c r="D385" s="66" t="s">
        <v>449</v>
      </c>
      <c r="E385" s="66" t="s">
        <v>8</v>
      </c>
      <c r="F385" s="66" t="s">
        <v>20</v>
      </c>
      <c r="G385" s="65">
        <f>Product!G134-Import_Detail!G134</f>
        <v>230</v>
      </c>
      <c r="H385" s="67">
        <v>155000</v>
      </c>
    </row>
    <row r="386" spans="1:8" x14ac:dyDescent="0.35">
      <c r="A386">
        <v>385</v>
      </c>
      <c r="B386" t="s">
        <v>1001</v>
      </c>
      <c r="C386" s="65" t="s">
        <v>595</v>
      </c>
      <c r="D386" s="66" t="s">
        <v>449</v>
      </c>
      <c r="E386" s="66" t="s">
        <v>8</v>
      </c>
      <c r="F386" s="66" t="s">
        <v>11</v>
      </c>
      <c r="G386" s="65">
        <f>Product!G135-Import_Detail!G135</f>
        <v>422</v>
      </c>
      <c r="H386" s="67">
        <v>155000</v>
      </c>
    </row>
    <row r="387" spans="1:8" x14ac:dyDescent="0.35">
      <c r="A387">
        <v>386</v>
      </c>
      <c r="B387" t="s">
        <v>1001</v>
      </c>
      <c r="C387" s="65" t="s">
        <v>596</v>
      </c>
      <c r="D387" s="66" t="s">
        <v>449</v>
      </c>
      <c r="E387" s="66" t="s">
        <v>8</v>
      </c>
      <c r="F387" s="66" t="s">
        <v>15</v>
      </c>
      <c r="G387" s="65">
        <f>Product!G136-Import_Detail!G136</f>
        <v>500</v>
      </c>
      <c r="H387" s="67">
        <v>155000</v>
      </c>
    </row>
    <row r="388" spans="1:8" x14ac:dyDescent="0.35">
      <c r="A388">
        <v>387</v>
      </c>
      <c r="B388" t="s">
        <v>1001</v>
      </c>
      <c r="C388" s="65" t="s">
        <v>597</v>
      </c>
      <c r="D388" s="66" t="s">
        <v>449</v>
      </c>
      <c r="E388" s="66" t="s">
        <v>30</v>
      </c>
      <c r="F388" s="66" t="s">
        <v>20</v>
      </c>
      <c r="G388" s="65">
        <f>Product!G137-Import_Detail!G137</f>
        <v>350</v>
      </c>
      <c r="H388" s="67">
        <v>155000</v>
      </c>
    </row>
    <row r="389" spans="1:8" x14ac:dyDescent="0.35">
      <c r="A389">
        <v>388</v>
      </c>
      <c r="B389" t="s">
        <v>1001</v>
      </c>
      <c r="C389" s="65" t="s">
        <v>598</v>
      </c>
      <c r="D389" s="66" t="s">
        <v>449</v>
      </c>
      <c r="E389" s="66" t="s">
        <v>30</v>
      </c>
      <c r="F389" s="66" t="s">
        <v>11</v>
      </c>
      <c r="G389" s="65">
        <f>Product!G138-Import_Detail!G138</f>
        <v>431</v>
      </c>
      <c r="H389" s="67">
        <v>155000</v>
      </c>
    </row>
    <row r="390" spans="1:8" x14ac:dyDescent="0.35">
      <c r="A390">
        <v>389</v>
      </c>
      <c r="B390" t="s">
        <v>1001</v>
      </c>
      <c r="C390" s="65" t="s">
        <v>599</v>
      </c>
      <c r="D390" s="66" t="s">
        <v>449</v>
      </c>
      <c r="E390" s="66" t="s">
        <v>30</v>
      </c>
      <c r="F390" s="66" t="s">
        <v>15</v>
      </c>
      <c r="G390" s="65">
        <f>Product!G139-Import_Detail!G139</f>
        <v>550</v>
      </c>
      <c r="H390" s="67">
        <v>155000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A5C8-10C1-4618-A686-F73E65CC65D4}">
  <dimension ref="A1:J11"/>
  <sheetViews>
    <sheetView workbookViewId="0">
      <selection activeCell="E12" sqref="E12"/>
    </sheetView>
  </sheetViews>
  <sheetFormatPr defaultRowHeight="14.5" x14ac:dyDescent="0.35"/>
  <cols>
    <col min="1" max="1" width="9.26953125" bestFit="1" customWidth="1"/>
    <col min="2" max="2" width="11.453125" bestFit="1" customWidth="1"/>
    <col min="3" max="3" width="15.90625" bestFit="1" customWidth="1"/>
    <col min="4" max="4" width="16.7265625" bestFit="1" customWidth="1"/>
    <col min="6" max="6" width="14.26953125" customWidth="1"/>
    <col min="7" max="7" width="12.90625" customWidth="1"/>
    <col min="8" max="8" width="22.6328125" bestFit="1" customWidth="1"/>
    <col min="9" max="9" width="12.7265625" style="1" bestFit="1" customWidth="1"/>
    <col min="10" max="10" width="13.26953125" bestFit="1" customWidth="1"/>
  </cols>
  <sheetData>
    <row r="1" spans="1:10" x14ac:dyDescent="0.35">
      <c r="A1" t="s">
        <v>1005</v>
      </c>
      <c r="B1" t="s">
        <v>1006</v>
      </c>
      <c r="C1" t="s">
        <v>1007</v>
      </c>
      <c r="D1" t="s">
        <v>1008</v>
      </c>
      <c r="E1" t="s">
        <v>241</v>
      </c>
      <c r="F1" t="s">
        <v>234</v>
      </c>
      <c r="G1" t="s">
        <v>1009</v>
      </c>
      <c r="H1" t="s">
        <v>1010</v>
      </c>
      <c r="I1" s="1" t="s">
        <v>1011</v>
      </c>
      <c r="J1" t="s">
        <v>769</v>
      </c>
    </row>
    <row r="2" spans="1:10" x14ac:dyDescent="0.35">
      <c r="A2" t="s">
        <v>1014</v>
      </c>
      <c r="B2">
        <v>1</v>
      </c>
      <c r="C2" t="s">
        <v>805</v>
      </c>
      <c r="E2" t="s">
        <v>384</v>
      </c>
      <c r="F2" s="48" t="s">
        <v>363</v>
      </c>
      <c r="G2" s="42">
        <v>45839</v>
      </c>
      <c r="H2" t="s">
        <v>1028</v>
      </c>
      <c r="I2" s="1">
        <v>180000</v>
      </c>
      <c r="J2" t="s">
        <v>775</v>
      </c>
    </row>
    <row r="3" spans="1:10" x14ac:dyDescent="0.35">
      <c r="A3" t="s">
        <v>1015</v>
      </c>
      <c r="B3">
        <v>1</v>
      </c>
      <c r="C3" t="s">
        <v>807</v>
      </c>
      <c r="E3" t="s">
        <v>383</v>
      </c>
      <c r="F3" s="48" t="s">
        <v>325</v>
      </c>
      <c r="G3" s="42">
        <v>45839</v>
      </c>
      <c r="H3" t="s">
        <v>1029</v>
      </c>
      <c r="I3" s="1">
        <v>360000</v>
      </c>
      <c r="J3" t="s">
        <v>775</v>
      </c>
    </row>
    <row r="4" spans="1:10" x14ac:dyDescent="0.35">
      <c r="A4" t="s">
        <v>1016</v>
      </c>
      <c r="B4">
        <v>0</v>
      </c>
      <c r="D4" t="s">
        <v>1000</v>
      </c>
      <c r="E4" t="s">
        <v>378</v>
      </c>
      <c r="F4" t="s">
        <v>366</v>
      </c>
      <c r="G4" s="42">
        <v>45842</v>
      </c>
      <c r="H4" t="s">
        <v>1027</v>
      </c>
      <c r="I4" s="1">
        <f>180000*500</f>
        <v>90000000</v>
      </c>
      <c r="J4" t="s">
        <v>775</v>
      </c>
    </row>
    <row r="5" spans="1:10" x14ac:dyDescent="0.35">
      <c r="A5" t="s">
        <v>1017</v>
      </c>
      <c r="B5">
        <v>1</v>
      </c>
      <c r="C5" t="s">
        <v>872</v>
      </c>
      <c r="E5" t="s">
        <v>390</v>
      </c>
      <c r="F5" s="48" t="s">
        <v>349</v>
      </c>
      <c r="G5" s="42">
        <v>45847</v>
      </c>
      <c r="H5" t="s">
        <v>1032</v>
      </c>
      <c r="I5" s="1">
        <v>380000</v>
      </c>
      <c r="J5" t="s">
        <v>775</v>
      </c>
    </row>
    <row r="6" spans="1:10" x14ac:dyDescent="0.35">
      <c r="A6" t="s">
        <v>1018</v>
      </c>
      <c r="B6">
        <v>1</v>
      </c>
      <c r="C6" t="s">
        <v>891</v>
      </c>
      <c r="E6" t="s">
        <v>396</v>
      </c>
      <c r="F6" s="48" t="s">
        <v>299</v>
      </c>
      <c r="G6" s="42">
        <v>45849</v>
      </c>
      <c r="H6" t="s">
        <v>1029</v>
      </c>
      <c r="I6" s="1">
        <v>200000</v>
      </c>
      <c r="J6" t="s">
        <v>775</v>
      </c>
    </row>
    <row r="7" spans="1:10" x14ac:dyDescent="0.35">
      <c r="A7" t="s">
        <v>1019</v>
      </c>
      <c r="B7">
        <v>1</v>
      </c>
      <c r="C7" t="s">
        <v>884</v>
      </c>
      <c r="E7" t="s">
        <v>986</v>
      </c>
      <c r="F7" s="48" t="s">
        <v>353</v>
      </c>
      <c r="G7" s="42">
        <v>45850</v>
      </c>
      <c r="H7" t="s">
        <v>1030</v>
      </c>
      <c r="I7" s="1">
        <v>155000</v>
      </c>
      <c r="J7" t="s">
        <v>775</v>
      </c>
    </row>
    <row r="8" spans="1:10" x14ac:dyDescent="0.35">
      <c r="A8" t="s">
        <v>1020</v>
      </c>
      <c r="B8">
        <v>0</v>
      </c>
      <c r="E8" t="s">
        <v>376</v>
      </c>
      <c r="F8" s="75" t="s">
        <v>355</v>
      </c>
      <c r="G8" s="42">
        <v>45851</v>
      </c>
      <c r="H8" t="s">
        <v>1033</v>
      </c>
      <c r="I8" s="1">
        <f>150000*300</f>
        <v>45000000</v>
      </c>
      <c r="J8" t="s">
        <v>775</v>
      </c>
    </row>
    <row r="9" spans="1:10" x14ac:dyDescent="0.35">
      <c r="A9" t="s">
        <v>1021</v>
      </c>
      <c r="B9">
        <v>1</v>
      </c>
      <c r="C9" t="s">
        <v>912</v>
      </c>
      <c r="E9" t="s">
        <v>395</v>
      </c>
      <c r="F9" s="75" t="s">
        <v>357</v>
      </c>
      <c r="G9" s="42">
        <v>45852</v>
      </c>
      <c r="H9" t="s">
        <v>1031</v>
      </c>
      <c r="I9" s="1">
        <v>265000</v>
      </c>
      <c r="J9" t="s">
        <v>775</v>
      </c>
    </row>
    <row r="10" spans="1:10" x14ac:dyDescent="0.35">
      <c r="A10" t="s">
        <v>1022</v>
      </c>
      <c r="B10">
        <v>1</v>
      </c>
      <c r="C10" t="s">
        <v>927</v>
      </c>
      <c r="E10" t="s">
        <v>985</v>
      </c>
      <c r="F10" s="48" t="s">
        <v>328</v>
      </c>
      <c r="G10" s="42">
        <v>45853</v>
      </c>
      <c r="H10" t="s">
        <v>1029</v>
      </c>
      <c r="I10" s="1">
        <v>470000</v>
      </c>
      <c r="J10" t="s">
        <v>775</v>
      </c>
    </row>
    <row r="11" spans="1:10" x14ac:dyDescent="0.35">
      <c r="A11" t="s">
        <v>1023</v>
      </c>
      <c r="B11">
        <v>0</v>
      </c>
      <c r="E11" t="s">
        <v>377</v>
      </c>
      <c r="F11" s="48" t="s">
        <v>350</v>
      </c>
      <c r="G11" s="42">
        <v>45853</v>
      </c>
      <c r="H11" t="s">
        <v>1034</v>
      </c>
      <c r="I11" s="1">
        <f>200000*400</f>
        <v>80000000</v>
      </c>
      <c r="J11" t="s">
        <v>775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5C58-70F2-468F-959E-B9650725B312}">
  <dimension ref="A1:G11"/>
  <sheetViews>
    <sheetView workbookViewId="0">
      <selection activeCell="G11" sqref="G11"/>
    </sheetView>
  </sheetViews>
  <sheetFormatPr defaultRowHeight="14.5" x14ac:dyDescent="0.35"/>
  <cols>
    <col min="1" max="1" width="15.1796875" bestFit="1" customWidth="1"/>
    <col min="2" max="2" width="9.26953125" bestFit="1" customWidth="1"/>
    <col min="3" max="3" width="11.36328125" customWidth="1"/>
    <col min="5" max="5" width="10.1796875" style="1" bestFit="1" customWidth="1"/>
    <col min="6" max="6" width="12.7265625" style="1" bestFit="1" customWidth="1"/>
    <col min="7" max="7" width="40.26953125" customWidth="1"/>
  </cols>
  <sheetData>
    <row r="1" spans="1:7" x14ac:dyDescent="0.35">
      <c r="A1" s="76" t="s">
        <v>1012</v>
      </c>
      <c r="B1" s="76" t="s">
        <v>1005</v>
      </c>
      <c r="C1" s="76" t="s">
        <v>228</v>
      </c>
      <c r="D1" s="76" t="s">
        <v>403</v>
      </c>
      <c r="E1" s="77" t="s">
        <v>1004</v>
      </c>
      <c r="F1" s="77" t="s">
        <v>773</v>
      </c>
      <c r="G1" s="76" t="s">
        <v>1013</v>
      </c>
    </row>
    <row r="2" spans="1:7" x14ac:dyDescent="0.35">
      <c r="A2">
        <v>1</v>
      </c>
      <c r="B2" t="s">
        <v>1014</v>
      </c>
      <c r="C2" s="23" t="s">
        <v>506</v>
      </c>
      <c r="D2">
        <v>1</v>
      </c>
      <c r="E2" s="1">
        <v>180000</v>
      </c>
      <c r="F2" s="1">
        <f>E2*D2</f>
        <v>180000</v>
      </c>
    </row>
    <row r="3" spans="1:7" x14ac:dyDescent="0.35">
      <c r="A3">
        <v>2</v>
      </c>
      <c r="B3" t="s">
        <v>1015</v>
      </c>
      <c r="C3" s="23" t="s">
        <v>497</v>
      </c>
      <c r="D3">
        <v>2</v>
      </c>
      <c r="E3" s="1">
        <v>180000</v>
      </c>
      <c r="F3" s="1">
        <f>E3*D3</f>
        <v>360000</v>
      </c>
    </row>
    <row r="4" spans="1:7" x14ac:dyDescent="0.35">
      <c r="A4">
        <v>3</v>
      </c>
      <c r="B4" t="s">
        <v>1016</v>
      </c>
      <c r="C4" s="23" t="s">
        <v>1024</v>
      </c>
      <c r="D4">
        <v>500</v>
      </c>
      <c r="E4" s="1">
        <v>180000</v>
      </c>
      <c r="F4" s="1">
        <f>E4*D4</f>
        <v>90000000</v>
      </c>
      <c r="G4" t="s">
        <v>1035</v>
      </c>
    </row>
    <row r="5" spans="1:7" x14ac:dyDescent="0.35">
      <c r="A5">
        <v>4</v>
      </c>
      <c r="B5" t="s">
        <v>1017</v>
      </c>
      <c r="C5" s="23" t="s">
        <v>616</v>
      </c>
      <c r="D5">
        <v>1</v>
      </c>
      <c r="E5" s="1">
        <v>380000</v>
      </c>
      <c r="F5" s="1">
        <f t="shared" ref="F5:F11" si="0">E5*D5</f>
        <v>380000</v>
      </c>
    </row>
    <row r="6" spans="1:7" x14ac:dyDescent="0.35">
      <c r="A6">
        <v>5</v>
      </c>
      <c r="B6" t="s">
        <v>1018</v>
      </c>
      <c r="C6" s="23" t="s">
        <v>471</v>
      </c>
      <c r="D6">
        <v>1</v>
      </c>
      <c r="E6" s="1">
        <v>200000</v>
      </c>
      <c r="F6" s="1">
        <f t="shared" si="0"/>
        <v>200000</v>
      </c>
    </row>
    <row r="7" spans="1:7" x14ac:dyDescent="0.35">
      <c r="A7">
        <v>6</v>
      </c>
      <c r="B7" t="s">
        <v>1019</v>
      </c>
      <c r="C7" s="23" t="s">
        <v>712</v>
      </c>
      <c r="D7">
        <v>1</v>
      </c>
      <c r="E7" s="1">
        <v>155000</v>
      </c>
      <c r="F7" s="1">
        <f t="shared" si="0"/>
        <v>155000</v>
      </c>
    </row>
    <row r="8" spans="1:7" x14ac:dyDescent="0.35">
      <c r="A8">
        <v>7</v>
      </c>
      <c r="B8" t="s">
        <v>1020</v>
      </c>
      <c r="D8">
        <v>300</v>
      </c>
      <c r="E8" s="1">
        <v>150000</v>
      </c>
      <c r="F8" s="1">
        <f t="shared" si="0"/>
        <v>45000000</v>
      </c>
      <c r="G8" t="s">
        <v>1036</v>
      </c>
    </row>
    <row r="9" spans="1:7" x14ac:dyDescent="0.35">
      <c r="A9">
        <v>8</v>
      </c>
      <c r="B9" t="s">
        <v>1021</v>
      </c>
      <c r="C9" s="23" t="s">
        <v>741</v>
      </c>
      <c r="D9">
        <v>1</v>
      </c>
      <c r="E9" s="1">
        <v>265000</v>
      </c>
      <c r="F9" s="1">
        <f t="shared" si="0"/>
        <v>265000</v>
      </c>
    </row>
    <row r="10" spans="1:7" x14ac:dyDescent="0.35">
      <c r="A10">
        <v>9</v>
      </c>
      <c r="B10" t="s">
        <v>1022</v>
      </c>
      <c r="C10" s="23" t="s">
        <v>541</v>
      </c>
      <c r="D10">
        <v>2</v>
      </c>
      <c r="E10" s="1">
        <v>235000</v>
      </c>
      <c r="F10" s="1">
        <f t="shared" si="0"/>
        <v>470000</v>
      </c>
    </row>
    <row r="11" spans="1:7" x14ac:dyDescent="0.35">
      <c r="A11">
        <v>10</v>
      </c>
      <c r="B11" t="s">
        <v>1023</v>
      </c>
      <c r="D11">
        <v>400</v>
      </c>
      <c r="E11" s="1">
        <v>200000</v>
      </c>
      <c r="F11" s="1">
        <f t="shared" si="0"/>
        <v>80000000</v>
      </c>
      <c r="G11" t="s">
        <v>1036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Partner</vt:lpstr>
      <vt:lpstr>Partner_Info</vt:lpstr>
      <vt:lpstr>Store</vt:lpstr>
      <vt:lpstr>Employee</vt:lpstr>
      <vt:lpstr>Category</vt:lpstr>
      <vt:lpstr>Product</vt:lpstr>
      <vt:lpstr>Order</vt:lpstr>
      <vt:lpstr>Order_Detail</vt:lpstr>
      <vt:lpstr>Discount</vt:lpstr>
      <vt:lpstr>Discount_Product_Apply</vt:lpstr>
      <vt:lpstr>Import</vt:lpstr>
      <vt:lpstr>Import_Detail</vt:lpstr>
      <vt:lpstr>Return</vt:lpstr>
      <vt:lpstr>Return_Detail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Hảo</dc:creator>
  <cp:lastModifiedBy>Hoan Hao Ho</cp:lastModifiedBy>
  <dcterms:created xsi:type="dcterms:W3CDTF">2025-07-22T02:57:00Z</dcterms:created>
  <dcterms:modified xsi:type="dcterms:W3CDTF">2025-09-11T04:30:17Z</dcterms:modified>
</cp:coreProperties>
</file>